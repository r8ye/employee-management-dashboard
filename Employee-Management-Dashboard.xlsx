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1C9742F9-4C67-491C-A9A6-5452FEAF77D7}" xr6:coauthVersionLast="47" xr6:coauthVersionMax="47" xr10:uidLastSave="{00000000-0000-0000-0000-000000000000}"/>
  <bookViews>
    <workbookView xWindow="-120" yWindow="-120" windowWidth="29040" windowHeight="15840" activeTab="3" xr2:uid="{6921DB43-1497-4779-8B7F-B647E1CFD8A3}"/>
  </bookViews>
  <sheets>
    <sheet name="Employee Management Data" sheetId="2" r:id="rId1"/>
    <sheet name="Worksheet" sheetId="3" r:id="rId2"/>
    <sheet name="Pivot Tables" sheetId="4" r:id="rId3"/>
    <sheet name="Dashboard" sheetId="5" r:id="rId4"/>
  </sheets>
  <definedNames>
    <definedName name="_xlnm._FilterDatabase" localSheetId="1" hidden="1">Worksheet!$A$1:$I$41</definedName>
    <definedName name="Slicer_Department">#N/A</definedName>
    <definedName name="Slicer_Salary_Range">#N/A</definedName>
    <definedName name="Slicer_Tenure2">#N/A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a="1"/>
  <c r="I3" i="3" s="1"/>
  <c r="I4" i="3" a="1"/>
  <c r="I4" i="3" s="1"/>
  <c r="I5" i="3" a="1"/>
  <c r="I5" i="3" s="1"/>
  <c r="I6" i="3" a="1"/>
  <c r="I6" i="3" s="1"/>
  <c r="I7" i="3" a="1"/>
  <c r="I7" i="3" s="1"/>
  <c r="I8" i="3" a="1"/>
  <c r="I8" i="3" s="1"/>
  <c r="I9" i="3" a="1"/>
  <c r="I9" i="3" s="1"/>
  <c r="I10" i="3" a="1"/>
  <c r="I10" i="3" s="1"/>
  <c r="I11" i="3" a="1"/>
  <c r="I11" i="3" s="1"/>
  <c r="I12" i="3" a="1"/>
  <c r="I12" i="3" s="1"/>
  <c r="I13" i="3" a="1"/>
  <c r="I13" i="3" s="1"/>
  <c r="I14" i="3" a="1"/>
  <c r="I14" i="3" s="1"/>
  <c r="I15" i="3" a="1"/>
  <c r="I15" i="3" s="1"/>
  <c r="I16" i="3" a="1"/>
  <c r="I16" i="3" s="1"/>
  <c r="I17" i="3" a="1"/>
  <c r="I17" i="3" s="1"/>
  <c r="I18" i="3" a="1"/>
  <c r="I18" i="3" s="1"/>
  <c r="I19" i="3" a="1"/>
  <c r="I19" i="3" s="1"/>
  <c r="I20" i="3" a="1"/>
  <c r="I20" i="3" s="1"/>
  <c r="I21" i="3" a="1"/>
  <c r="I21" i="3" s="1"/>
  <c r="I22" i="3" a="1"/>
  <c r="I22" i="3" s="1"/>
  <c r="I23" i="3" a="1"/>
  <c r="I23" i="3" s="1"/>
  <c r="I24" i="3" a="1"/>
  <c r="I24" i="3" s="1"/>
  <c r="I25" i="3" a="1"/>
  <c r="I25" i="3" s="1"/>
  <c r="I26" i="3" a="1"/>
  <c r="I26" i="3" s="1"/>
  <c r="I27" i="3" a="1"/>
  <c r="I27" i="3" s="1"/>
  <c r="I28" i="3" a="1"/>
  <c r="I28" i="3" s="1"/>
  <c r="I29" i="3" a="1"/>
  <c r="I29" i="3" s="1"/>
  <c r="I30" i="3" a="1"/>
  <c r="I30" i="3" s="1"/>
  <c r="I31" i="3" a="1"/>
  <c r="I31" i="3" s="1"/>
  <c r="I32" i="3" a="1"/>
  <c r="I32" i="3" s="1"/>
  <c r="I33" i="3" a="1"/>
  <c r="I33" i="3" s="1"/>
  <c r="I34" i="3" a="1"/>
  <c r="I34" i="3" s="1"/>
  <c r="I35" i="3" a="1"/>
  <c r="I35" i="3" s="1"/>
  <c r="I36" i="3" a="1"/>
  <c r="I36" i="3" s="1"/>
  <c r="I37" i="3" a="1"/>
  <c r="I37" i="3" s="1"/>
  <c r="I38" i="3" a="1"/>
  <c r="I38" i="3" s="1"/>
  <c r="I39" i="3" a="1"/>
  <c r="I39" i="3" s="1"/>
  <c r="I40" i="3" a="1"/>
  <c r="I40" i="3" s="1"/>
  <c r="I41" i="3" a="1"/>
  <c r="I41" i="3" s="1"/>
  <c r="I2" i="3" a="1"/>
  <c r="I2" i="3" s="1"/>
  <c r="F17" i="3"/>
  <c r="G17" i="3" s="1" a="1"/>
  <c r="G17" i="3" s="1"/>
  <c r="F10" i="3"/>
  <c r="G10" i="3" s="1" a="1"/>
  <c r="G10" i="3" s="1"/>
  <c r="F36" i="3"/>
  <c r="G36" i="3" s="1" a="1"/>
  <c r="G36" i="3" s="1"/>
  <c r="F13" i="3"/>
  <c r="G13" i="3" s="1" a="1"/>
  <c r="G13" i="3" s="1"/>
  <c r="F23" i="3"/>
  <c r="G23" i="3" s="1" a="1"/>
  <c r="G23" i="3" s="1"/>
  <c r="F6" i="3"/>
  <c r="G6" i="3" s="1" a="1"/>
  <c r="G6" i="3" s="1"/>
  <c r="F32" i="3"/>
  <c r="G32" i="3" s="1" a="1"/>
  <c r="G32" i="3" s="1"/>
  <c r="F20" i="3"/>
  <c r="G20" i="3" s="1" a="1"/>
  <c r="G20" i="3" s="1"/>
  <c r="F40" i="3"/>
  <c r="G40" i="3" s="1" a="1"/>
  <c r="G40" i="3" s="1"/>
  <c r="F15" i="3"/>
  <c r="G15" i="3" s="1" a="1"/>
  <c r="G15" i="3" s="1"/>
  <c r="F26" i="3"/>
  <c r="G26" i="3" s="1" a="1"/>
  <c r="G26" i="3" s="1"/>
  <c r="F4" i="3"/>
  <c r="G4" i="3" s="1" a="1"/>
  <c r="G4" i="3" s="1"/>
  <c r="F30" i="3"/>
  <c r="G30" i="3" s="1" a="1"/>
  <c r="G30" i="3" s="1"/>
  <c r="F18" i="3"/>
  <c r="G18" i="3" s="1" a="1"/>
  <c r="G18" i="3" s="1"/>
  <c r="F7" i="3"/>
  <c r="G7" i="3" s="1" a="1"/>
  <c r="G7" i="3" s="1"/>
  <c r="F38" i="3"/>
  <c r="G38" i="3" s="1" a="1"/>
  <c r="G38" i="3" s="1"/>
  <c r="F24" i="3"/>
  <c r="G24" i="3" s="1" a="1"/>
  <c r="G24" i="3" s="1"/>
  <c r="F11" i="3"/>
  <c r="G11" i="3" s="1" a="1"/>
  <c r="G11" i="3" s="1"/>
  <c r="F41" i="3"/>
  <c r="G41" i="3" s="1" a="1"/>
  <c r="G41" i="3" s="1"/>
  <c r="F22" i="3"/>
  <c r="G22" i="3" s="1" a="1"/>
  <c r="G22" i="3" s="1"/>
  <c r="F31" i="3"/>
  <c r="G31" i="3" s="1" a="1"/>
  <c r="G31" i="3" s="1"/>
  <c r="F5" i="3"/>
  <c r="G5" i="3" s="1" a="1"/>
  <c r="G5" i="3" s="1"/>
  <c r="F28" i="3"/>
  <c r="G28" i="3" s="1" a="1"/>
  <c r="G28" i="3" s="1"/>
  <c r="F16" i="3"/>
  <c r="G16" i="3" s="1" a="1"/>
  <c r="G16" i="3" s="1"/>
  <c r="F9" i="3"/>
  <c r="G9" i="3" s="1" a="1"/>
  <c r="G9" i="3" s="1"/>
  <c r="F35" i="3"/>
  <c r="G35" i="3" s="1" a="1"/>
  <c r="G35" i="3" s="1"/>
  <c r="F27" i="3"/>
  <c r="G27" i="3" s="1" a="1"/>
  <c r="G27" i="3" s="1"/>
  <c r="F14" i="3"/>
  <c r="G14" i="3" s="1" a="1"/>
  <c r="G14" i="3" s="1"/>
  <c r="F39" i="3"/>
  <c r="G39" i="3" s="1" a="1"/>
  <c r="G39" i="3" s="1"/>
  <c r="F21" i="3"/>
  <c r="G21" i="3" s="1" a="1"/>
  <c r="G21" i="3" s="1"/>
  <c r="F33" i="3"/>
  <c r="G33" i="3" s="1" a="1"/>
  <c r="G33" i="3" s="1"/>
  <c r="F3" i="3"/>
  <c r="G3" i="3" s="1" a="1"/>
  <c r="G3" i="3" s="1"/>
  <c r="F25" i="3"/>
  <c r="G25" i="3" s="1" a="1"/>
  <c r="G25" i="3" s="1"/>
  <c r="F12" i="3"/>
  <c r="G12" i="3" s="1" a="1"/>
  <c r="G12" i="3" s="1"/>
  <c r="F2" i="3"/>
  <c r="G2" i="3" s="1" a="1"/>
  <c r="G2" i="3" s="1"/>
  <c r="F34" i="3"/>
  <c r="G34" i="3" s="1" a="1"/>
  <c r="G34" i="3" s="1"/>
  <c r="F19" i="3"/>
  <c r="G19" i="3" s="1" a="1"/>
  <c r="G19" i="3" s="1"/>
  <c r="F8" i="3"/>
  <c r="G8" i="3" s="1" a="1"/>
  <c r="G8" i="3" s="1"/>
  <c r="F37" i="3"/>
  <c r="G37" i="3" s="1" a="1"/>
  <c r="G37" i="3" s="1"/>
  <c r="F29" i="3"/>
  <c r="G29" i="3" s="1" a="1"/>
  <c r="G2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<sst xmlns="http://schemas.openxmlformats.org/spreadsheetml/2006/main" count="422" uniqueCount="161">
  <si>
    <t>Excel Sample Data</t>
  </si>
  <si>
    <t>Employee Management Data</t>
  </si>
  <si>
    <t>Employee ID</t>
  </si>
  <si>
    <t>Full Name</t>
  </si>
  <si>
    <t>Department</t>
  </si>
  <si>
    <t>Designation</t>
  </si>
  <si>
    <t>Hire Date</t>
  </si>
  <si>
    <t>Annual Salary (USD)</t>
  </si>
  <si>
    <t>S1001</t>
  </si>
  <si>
    <t>John Smith</t>
  </si>
  <si>
    <t>Human Resources</t>
  </si>
  <si>
    <t>HR Manager</t>
  </si>
  <si>
    <t>S1002</t>
  </si>
  <si>
    <t>Jane Doe</t>
  </si>
  <si>
    <t>Marketing</t>
  </si>
  <si>
    <t>Marketing Specialist</t>
  </si>
  <si>
    <t>S1003</t>
  </si>
  <si>
    <t>Michael Johnson</t>
  </si>
  <si>
    <t>Finance</t>
  </si>
  <si>
    <t>Financial Analyst</t>
  </si>
  <si>
    <t>S1004</t>
  </si>
  <si>
    <t>Emily Brown</t>
  </si>
  <si>
    <t>Sales</t>
  </si>
  <si>
    <t>Sales Representative</t>
  </si>
  <si>
    <t>S1005</t>
  </si>
  <si>
    <t>David Wilson</t>
  </si>
  <si>
    <t>Information Technology</t>
  </si>
  <si>
    <t>IT Specialist</t>
  </si>
  <si>
    <t>S1006</t>
  </si>
  <si>
    <t>Lisa Taylor</t>
  </si>
  <si>
    <t>Operations</t>
  </si>
  <si>
    <t>Operations Manager</t>
  </si>
  <si>
    <t>S1007</t>
  </si>
  <si>
    <t>Daniel Martinez</t>
  </si>
  <si>
    <t>Customer Service</t>
  </si>
  <si>
    <t>Customer Service Representative</t>
  </si>
  <si>
    <t>S1008</t>
  </si>
  <si>
    <t>Sarah Anderson</t>
  </si>
  <si>
    <t>Research and Development</t>
  </si>
  <si>
    <t>R&amp;D Engineer</t>
  </si>
  <si>
    <t>S1009</t>
  </si>
  <si>
    <t>Christopher Thomas</t>
  </si>
  <si>
    <t>Production</t>
  </si>
  <si>
    <t>Production Supervisor</t>
  </si>
  <si>
    <t>S1010</t>
  </si>
  <si>
    <t>Kimberly Garcia</t>
  </si>
  <si>
    <t>Quality Assurance</t>
  </si>
  <si>
    <t>QA Analyst</t>
  </si>
  <si>
    <t>S1011</t>
  </si>
  <si>
    <t>William Hernandez</t>
  </si>
  <si>
    <t>HR Coordinator</t>
  </si>
  <si>
    <t>S1012</t>
  </si>
  <si>
    <t>Melissa Lopez</t>
  </si>
  <si>
    <t>Marketing Manager</t>
  </si>
  <si>
    <t>S1013</t>
  </si>
  <si>
    <t>Richard Perez</t>
  </si>
  <si>
    <t>Finance Manager</t>
  </si>
  <si>
    <t>S1014</t>
  </si>
  <si>
    <t>Jessica Gonzalez</t>
  </si>
  <si>
    <t>Sales Manager</t>
  </si>
  <si>
    <t>S1015</t>
  </si>
  <si>
    <t>Matthew Wilson</t>
  </si>
  <si>
    <t>IT Manager</t>
  </si>
  <si>
    <t>S1016</t>
  </si>
  <si>
    <t>Amanda Martinez</t>
  </si>
  <si>
    <t>Operations Coordinator</t>
  </si>
  <si>
    <t>S1017</t>
  </si>
  <si>
    <t>James Johnson</t>
  </si>
  <si>
    <t>Customer Service Manager</t>
  </si>
  <si>
    <t>S1018</t>
  </si>
  <si>
    <t>Laura Brown</t>
  </si>
  <si>
    <t>R&amp;D Manager</t>
  </si>
  <si>
    <t>S1019</t>
  </si>
  <si>
    <t>Daniel Smith</t>
  </si>
  <si>
    <t>Production Manager</t>
  </si>
  <si>
    <t>S1020</t>
  </si>
  <si>
    <t>Jennifer Davis</t>
  </si>
  <si>
    <t>QA Manager</t>
  </si>
  <si>
    <t>S1021</t>
  </si>
  <si>
    <t>Michael Garcia</t>
  </si>
  <si>
    <t>HR Assistant</t>
  </si>
  <si>
    <t>S1022</t>
  </si>
  <si>
    <t>Amy Hernandez</t>
  </si>
  <si>
    <t>Marketing Coordinator</t>
  </si>
  <si>
    <t>S1023</t>
  </si>
  <si>
    <t>Christopher Rodriguez</t>
  </si>
  <si>
    <t>Senior Financial Analyst</t>
  </si>
  <si>
    <t>S1024</t>
  </si>
  <si>
    <t>Jessica Martinez</t>
  </si>
  <si>
    <t>Senior Sales Representative</t>
  </si>
  <si>
    <t>S1025</t>
  </si>
  <si>
    <t>Senior IT Specialist</t>
  </si>
  <si>
    <t>S1026</t>
  </si>
  <si>
    <t>Sarah Smith</t>
  </si>
  <si>
    <t>Assistant Operations Manager</t>
  </si>
  <si>
    <t>S1027</t>
  </si>
  <si>
    <t>Matthew Johnson</t>
  </si>
  <si>
    <t>Senior Customer Service Representative</t>
  </si>
  <si>
    <t>S1028</t>
  </si>
  <si>
    <t>Emily Davis</t>
  </si>
  <si>
    <t>R&amp;D Technician</t>
  </si>
  <si>
    <t>S1029</t>
  </si>
  <si>
    <t>Daniel Wilson</t>
  </si>
  <si>
    <t>Senior Production Supervisor</t>
  </si>
  <si>
    <t>S1030</t>
  </si>
  <si>
    <t>Jennifer Martinez</t>
  </si>
  <si>
    <t>Senior QA Analyst</t>
  </si>
  <si>
    <t>S1031</t>
  </si>
  <si>
    <t>Michael Smith</t>
  </si>
  <si>
    <t>HR Generalist</t>
  </si>
  <si>
    <t>S1032</t>
  </si>
  <si>
    <t>Jessica Johnson</t>
  </si>
  <si>
    <t>Marketing Assistant</t>
  </si>
  <si>
    <t>S1033</t>
  </si>
  <si>
    <t>David Brown</t>
  </si>
  <si>
    <t>Junior Financial Analyst</t>
  </si>
  <si>
    <t>S1034</t>
  </si>
  <si>
    <t>Sarah Garcia</t>
  </si>
  <si>
    <t>Sales Coordinator</t>
  </si>
  <si>
    <t>S1035</t>
  </si>
  <si>
    <t>Matthew Hernandez</t>
  </si>
  <si>
    <t>Junior IT Specialist</t>
  </si>
  <si>
    <t>S1036</t>
  </si>
  <si>
    <t>Emily Rodriguez</t>
  </si>
  <si>
    <t>Operations Assistant</t>
  </si>
  <si>
    <t>S1037</t>
  </si>
  <si>
    <t>Daniel Davis</t>
  </si>
  <si>
    <t>Customer Service Associate</t>
  </si>
  <si>
    <t>S1038</t>
  </si>
  <si>
    <t>Jennifer Smith</t>
  </si>
  <si>
    <t>R&amp;D Assistant</t>
  </si>
  <si>
    <t>S1039</t>
  </si>
  <si>
    <t>Production Assistant</t>
  </si>
  <si>
    <t>S1040</t>
  </si>
  <si>
    <t>QA Assistant</t>
  </si>
  <si>
    <t>Annual Salary</t>
  </si>
  <si>
    <t>Tenure</t>
  </si>
  <si>
    <t>Salary Range</t>
  </si>
  <si>
    <t>Grand Total</t>
  </si>
  <si>
    <t>Ave. Annual Salary</t>
  </si>
  <si>
    <t>Jan</t>
  </si>
  <si>
    <t>Feb</t>
  </si>
  <si>
    <t>Mar</t>
  </si>
  <si>
    <t>Apr</t>
  </si>
  <si>
    <t>May</t>
  </si>
  <si>
    <t>Jun</t>
  </si>
  <si>
    <t>Jul</t>
  </si>
  <si>
    <t>Aug</t>
  </si>
  <si>
    <t>Sep</t>
  </si>
  <si>
    <t>Oct</t>
  </si>
  <si>
    <t>Nov</t>
  </si>
  <si>
    <t>Dec</t>
  </si>
  <si>
    <t>40k-50k</t>
  </si>
  <si>
    <t>50k-60k</t>
  </si>
  <si>
    <t>60k-70k</t>
  </si>
  <si>
    <t>70k-80k</t>
  </si>
  <si>
    <t>2 Years</t>
  </si>
  <si>
    <t>3 Years</t>
  </si>
  <si>
    <t>Employee Count</t>
  </si>
  <si>
    <t>Sum Annual Salary</t>
  </si>
  <si>
    <t>EMPLOYEE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</si>
</sst>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5" formatCode="yyyy\-mm\-dd;@"/>
    <numFmt numFmtId="171" formatCode="&quot;$&quot;#,##0"/>
    <numFmt numFmtId="172" formatCode="0.0"/>
  </numFmts>
  <fonts count="8" x14ac:knownFonts="1">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11"/>
      <color theme="1"/>
      <name val="Aptos Narrow"/>
      <family val="2"/>
      <scheme val="minor"/>
    </font>
    <font>
      <b/>
      <sz val="26"/>
      <color theme="0"/>
      <name val="Aptos Narrow"/>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0.499984740745262"/>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6" fillId="0" borderId="0" applyFont="0" applyFill="0" applyBorder="0" applyAlignment="0" applyProtection="0"/>
  </cellStyleXfs>
  <cellXfs count="24">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xf>
    <xf numFmtId="0" fontId="5" fillId="0" borderId="2" xfId="0" applyFont="1" applyBorder="1" applyAlignment="1">
      <alignment vertical="center"/>
    </xf>
    <xf numFmtId="14" fontId="5" fillId="0" borderId="2" xfId="0" applyNumberFormat="1" applyFont="1" applyBorder="1" applyAlignment="1">
      <alignment vertical="center"/>
    </xf>
    <xf numFmtId="0" fontId="4" fillId="3" borderId="2" xfId="0" applyNumberFormat="1" applyFont="1" applyFill="1" applyBorder="1" applyAlignment="1">
      <alignment horizontal="center" vertical="center"/>
    </xf>
    <xf numFmtId="0" fontId="5" fillId="0" borderId="2" xfId="0" applyNumberFormat="1" applyFont="1" applyBorder="1" applyAlignment="1">
      <alignment vertical="center"/>
    </xf>
    <xf numFmtId="0" fontId="0" fillId="0" borderId="0" xfId="0" applyNumberFormat="1"/>
    <xf numFmtId="165" fontId="4" fillId="3" borderId="2" xfId="0" applyNumberFormat="1" applyFont="1" applyFill="1" applyBorder="1" applyAlignment="1">
      <alignment horizontal="center" vertical="center"/>
    </xf>
    <xf numFmtId="165" fontId="5" fillId="0" borderId="2" xfId="0" applyNumberFormat="1" applyFont="1" applyBorder="1" applyAlignment="1">
      <alignment vertical="center"/>
    </xf>
    <xf numFmtId="165" fontId="0" fillId="0" borderId="0" xfId="0" applyNumberFormat="1"/>
    <xf numFmtId="171" fontId="4" fillId="3" borderId="2" xfId="1" applyNumberFormat="1" applyFont="1" applyFill="1" applyBorder="1" applyAlignment="1">
      <alignment horizontal="center" vertical="center"/>
    </xf>
    <xf numFmtId="171" fontId="5" fillId="0" borderId="2" xfId="1" applyNumberFormat="1" applyFont="1" applyBorder="1" applyAlignment="1">
      <alignment vertical="center"/>
    </xf>
    <xf numFmtId="171" fontId="0" fillId="0" borderId="0" xfId="1" applyNumberFormat="1" applyFont="1"/>
    <xf numFmtId="172" fontId="5" fillId="0" borderId="2" xfId="0" applyNumberFormat="1" applyFont="1" applyBorder="1" applyAlignment="1">
      <alignment vertical="center"/>
    </xf>
    <xf numFmtId="0" fontId="4" fillId="3" borderId="0" xfId="1" applyNumberFormat="1" applyFont="1" applyFill="1" applyBorder="1" applyAlignment="1">
      <alignment horizontal="center" vertical="center"/>
    </xf>
    <xf numFmtId="0" fontId="5" fillId="0" borderId="0" xfId="1" applyNumberFormat="1" applyFont="1" applyBorder="1" applyAlignment="1">
      <alignment vertical="center"/>
    </xf>
    <xf numFmtId="0" fontId="0" fillId="0" borderId="0" xfId="1" applyNumberFormat="1" applyFont="1"/>
    <xf numFmtId="0" fontId="0" fillId="0" borderId="0" xfId="0" pivotButton="1"/>
    <xf numFmtId="0" fontId="0" fillId="0" borderId="0" xfId="0" applyAlignment="1">
      <alignment horizontal="left"/>
    </xf>
    <xf numFmtId="171" fontId="0" fillId="0" borderId="0" xfId="0" applyNumberFormat="1"/>
    <xf numFmtId="0" fontId="7" fillId="4" borderId="0" xfId="0"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E36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a:t>
            </a:r>
            <a:r>
              <a:rPr lang="en-US" baseline="0"/>
              <a:t> Count by Salary Range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754051969918854"/>
          <c:y val="0.23517279090113735"/>
          <c:w val="0.53156242262170061"/>
          <c:h val="0.68475575969670466"/>
        </c:manualLayout>
      </c:layout>
      <c:pieChart>
        <c:varyColors val="1"/>
        <c:ser>
          <c:idx val="0"/>
          <c:order val="0"/>
          <c:tx>
            <c:strRef>
              <c:f>'Pivot Tables'!$V$1</c:f>
              <c:strCache>
                <c:ptCount val="1"/>
                <c:pt idx="0">
                  <c:v>Total</c:v>
                </c:pt>
              </c:strCache>
            </c:strRef>
          </c:tx>
          <c:dPt>
            <c:idx val="0"/>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B0B-4F6F-94D6-538F49686A54}"/>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0B-4F6F-94D6-538F49686A54}"/>
              </c:ext>
            </c:extLst>
          </c:dPt>
          <c:dPt>
            <c:idx val="2"/>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B0B-4F6F-94D6-538F49686A54}"/>
              </c:ext>
            </c:extLst>
          </c:dPt>
          <c:dPt>
            <c:idx val="3"/>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0B-4F6F-94D6-538F49686A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Tables'!$U$2:$U$6</c:f>
              <c:strCache>
                <c:ptCount val="4"/>
                <c:pt idx="0">
                  <c:v>40k-50k</c:v>
                </c:pt>
                <c:pt idx="1">
                  <c:v>50k-60k</c:v>
                </c:pt>
                <c:pt idx="2">
                  <c:v>60k-70k</c:v>
                </c:pt>
                <c:pt idx="3">
                  <c:v>70k-80k</c:v>
                </c:pt>
              </c:strCache>
            </c:strRef>
          </c:cat>
          <c:val>
            <c:numRef>
              <c:f>'Pivot Tables'!$V$2:$V$6</c:f>
              <c:numCache>
                <c:formatCode>General</c:formatCode>
                <c:ptCount val="4"/>
                <c:pt idx="0">
                  <c:v>15</c:v>
                </c:pt>
                <c:pt idx="1">
                  <c:v>10</c:v>
                </c:pt>
                <c:pt idx="2">
                  <c:v>8</c:v>
                </c:pt>
                <c:pt idx="3">
                  <c:v>7</c:v>
                </c:pt>
              </c:numCache>
            </c:numRef>
          </c:val>
          <c:extLst>
            <c:ext xmlns:c16="http://schemas.microsoft.com/office/drawing/2014/chart" uri="{C3380CC4-5D6E-409C-BE32-E72D297353CC}">
              <c16:uniqueId val="{00000000-CB0B-4F6F-94D6-538F49686A5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867719365268025"/>
          <c:y val="0.44047353455818022"/>
          <c:w val="0.15768973615140214"/>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a:t>
            </a:r>
            <a:r>
              <a:rPr lang="en-US" baseline="0"/>
              <a:t> Count by Tenure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12927087835396"/>
          <c:y val="0.21081036745406828"/>
          <c:w val="0.54080484609097024"/>
          <c:h val="0.69196741032370956"/>
        </c:manualLayout>
      </c:layout>
      <c:pieChart>
        <c:varyColors val="1"/>
        <c:ser>
          <c:idx val="0"/>
          <c:order val="0"/>
          <c:tx>
            <c:strRef>
              <c:f>'Pivot Tables'!$AB$1</c:f>
              <c:strCache>
                <c:ptCount val="1"/>
                <c:pt idx="0">
                  <c:v>Total</c:v>
                </c:pt>
              </c:strCache>
            </c:strRef>
          </c:tx>
          <c:spPr>
            <a:solidFill>
              <a:srgbClr val="FFC000"/>
            </a:solidFill>
          </c:spPr>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929-45F5-8542-6BF96A6A4696}"/>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29-45F5-8542-6BF96A6A46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Tables'!$AA$2:$AA$4</c:f>
              <c:strCache>
                <c:ptCount val="2"/>
                <c:pt idx="0">
                  <c:v>2 Years</c:v>
                </c:pt>
                <c:pt idx="1">
                  <c:v>3 Years</c:v>
                </c:pt>
              </c:strCache>
            </c:strRef>
          </c:cat>
          <c:val>
            <c:numRef>
              <c:f>'Pivot Tables'!$AB$2:$AB$4</c:f>
              <c:numCache>
                <c:formatCode>General</c:formatCode>
                <c:ptCount val="2"/>
                <c:pt idx="0">
                  <c:v>28</c:v>
                </c:pt>
                <c:pt idx="1">
                  <c:v>12</c:v>
                </c:pt>
              </c:numCache>
            </c:numRef>
          </c:val>
          <c:extLst>
            <c:ext xmlns:c16="http://schemas.microsoft.com/office/drawing/2014/chart" uri="{C3380CC4-5D6E-409C-BE32-E72D297353CC}">
              <c16:uniqueId val="{00000000-0929-45F5-8542-6BF96A6A46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811692886791116"/>
          <c:y val="0.48792760279965003"/>
          <c:w val="0.1522810924217719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 Spend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Annual Salary</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Tables'!$A$2:$A$12</c:f>
              <c:strCache>
                <c:ptCount val="10"/>
                <c:pt idx="0">
                  <c:v>Customer Service</c:v>
                </c:pt>
                <c:pt idx="1">
                  <c:v>Finance</c:v>
                </c:pt>
                <c:pt idx="2">
                  <c:v>Human Resources</c:v>
                </c:pt>
                <c:pt idx="3">
                  <c:v>Information Technology</c:v>
                </c:pt>
                <c:pt idx="4">
                  <c:v>Marketing</c:v>
                </c:pt>
                <c:pt idx="5">
                  <c:v>Operations</c:v>
                </c:pt>
                <c:pt idx="6">
                  <c:v>Production</c:v>
                </c:pt>
                <c:pt idx="7">
                  <c:v>Quality Assurance</c:v>
                </c:pt>
                <c:pt idx="8">
                  <c:v>Research and Development</c:v>
                </c:pt>
                <c:pt idx="9">
                  <c:v>Sales</c:v>
                </c:pt>
              </c:strCache>
            </c:strRef>
          </c:cat>
          <c:val>
            <c:numRef>
              <c:f>'Pivot Tables'!$B$2:$B$12</c:f>
              <c:numCache>
                <c:formatCode>"$"#,##0</c:formatCode>
                <c:ptCount val="10"/>
                <c:pt idx="0">
                  <c:v>203000</c:v>
                </c:pt>
                <c:pt idx="1">
                  <c:v>233000</c:v>
                </c:pt>
                <c:pt idx="2">
                  <c:v>200000</c:v>
                </c:pt>
                <c:pt idx="3">
                  <c:v>253000</c:v>
                </c:pt>
                <c:pt idx="4">
                  <c:v>205000</c:v>
                </c:pt>
                <c:pt idx="5">
                  <c:v>210000</c:v>
                </c:pt>
                <c:pt idx="6">
                  <c:v>224000</c:v>
                </c:pt>
                <c:pt idx="7">
                  <c:v>235000</c:v>
                </c:pt>
                <c:pt idx="8">
                  <c:v>218000</c:v>
                </c:pt>
                <c:pt idx="9">
                  <c:v>225000</c:v>
                </c:pt>
              </c:numCache>
            </c:numRef>
          </c:val>
          <c:extLst>
            <c:ext xmlns:c16="http://schemas.microsoft.com/office/drawing/2014/chart" uri="{C3380CC4-5D6E-409C-BE32-E72D297353CC}">
              <c16:uniqueId val="{00000000-A3D0-4720-8544-44A473BE4539}"/>
            </c:ext>
          </c:extLst>
        </c:ser>
        <c:dLbls>
          <c:showLegendKey val="0"/>
          <c:showVal val="0"/>
          <c:showCatName val="0"/>
          <c:showSerName val="0"/>
          <c:showPercent val="0"/>
          <c:showBubbleSize val="0"/>
        </c:dLbls>
        <c:gapWidth val="219"/>
        <c:axId val="1181040767"/>
        <c:axId val="1181025407"/>
      </c:barChart>
      <c:lineChart>
        <c:grouping val="standard"/>
        <c:varyColors val="0"/>
        <c:ser>
          <c:idx val="1"/>
          <c:order val="1"/>
          <c:tx>
            <c:strRef>
              <c:f>'Pivot Tables'!$C$1</c:f>
              <c:strCache>
                <c:ptCount val="1"/>
                <c:pt idx="0">
                  <c:v>Ave. Annual Salary</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Tables'!$A$2:$A$12</c:f>
              <c:strCache>
                <c:ptCount val="10"/>
                <c:pt idx="0">
                  <c:v>Customer Service</c:v>
                </c:pt>
                <c:pt idx="1">
                  <c:v>Finance</c:v>
                </c:pt>
                <c:pt idx="2">
                  <c:v>Human Resources</c:v>
                </c:pt>
                <c:pt idx="3">
                  <c:v>Information Technology</c:v>
                </c:pt>
                <c:pt idx="4">
                  <c:v>Marketing</c:v>
                </c:pt>
                <c:pt idx="5">
                  <c:v>Operations</c:v>
                </c:pt>
                <c:pt idx="6">
                  <c:v>Production</c:v>
                </c:pt>
                <c:pt idx="7">
                  <c:v>Quality Assurance</c:v>
                </c:pt>
                <c:pt idx="8">
                  <c:v>Research and Development</c:v>
                </c:pt>
                <c:pt idx="9">
                  <c:v>Sales</c:v>
                </c:pt>
              </c:strCache>
            </c:strRef>
          </c:cat>
          <c:val>
            <c:numRef>
              <c:f>'Pivot Tables'!$C$2:$C$12</c:f>
              <c:numCache>
                <c:formatCode>"$"#,##0</c:formatCode>
                <c:ptCount val="10"/>
                <c:pt idx="0">
                  <c:v>50750</c:v>
                </c:pt>
                <c:pt idx="1">
                  <c:v>58250</c:v>
                </c:pt>
                <c:pt idx="2">
                  <c:v>50000</c:v>
                </c:pt>
                <c:pt idx="3">
                  <c:v>63250</c:v>
                </c:pt>
                <c:pt idx="4">
                  <c:v>51250</c:v>
                </c:pt>
                <c:pt idx="5">
                  <c:v>52500</c:v>
                </c:pt>
                <c:pt idx="6">
                  <c:v>56000</c:v>
                </c:pt>
                <c:pt idx="7">
                  <c:v>58750</c:v>
                </c:pt>
                <c:pt idx="8">
                  <c:v>54500</c:v>
                </c:pt>
                <c:pt idx="9">
                  <c:v>56250</c:v>
                </c:pt>
              </c:numCache>
            </c:numRef>
          </c:val>
          <c:smooth val="0"/>
          <c:extLst>
            <c:ext xmlns:c16="http://schemas.microsoft.com/office/drawing/2014/chart" uri="{C3380CC4-5D6E-409C-BE32-E72D297353CC}">
              <c16:uniqueId val="{00000001-A3D0-4720-8544-44A473BE4539}"/>
            </c:ext>
          </c:extLst>
        </c:ser>
        <c:dLbls>
          <c:showLegendKey val="0"/>
          <c:showVal val="0"/>
          <c:showCatName val="0"/>
          <c:showSerName val="0"/>
          <c:showPercent val="0"/>
          <c:showBubbleSize val="0"/>
        </c:dLbls>
        <c:marker val="1"/>
        <c:smooth val="0"/>
        <c:axId val="900783023"/>
        <c:axId val="900778223"/>
      </c:lineChart>
      <c:catAx>
        <c:axId val="11810407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25407"/>
        <c:crosses val="autoZero"/>
        <c:auto val="1"/>
        <c:lblAlgn val="ctr"/>
        <c:lblOffset val="100"/>
        <c:noMultiLvlLbl val="0"/>
      </c:catAx>
      <c:valAx>
        <c:axId val="118102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Sum Annual</a:t>
                </a:r>
                <a:r>
                  <a:rPr lang="en-US" baseline="0"/>
                  <a:t> Salary</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40767"/>
        <c:crosses val="autoZero"/>
        <c:crossBetween val="between"/>
      </c:valAx>
      <c:valAx>
        <c:axId val="90077822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a:t>
                </a:r>
                <a:r>
                  <a:rPr lang="en-US" baseline="0"/>
                  <a:t> Annual Salary</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83023"/>
        <c:crosses val="max"/>
        <c:crossBetween val="between"/>
      </c:valAx>
      <c:catAx>
        <c:axId val="900783023"/>
        <c:scaling>
          <c:orientation val="minMax"/>
        </c:scaling>
        <c:delete val="1"/>
        <c:axPos val="b"/>
        <c:numFmt formatCode="General" sourceLinked="1"/>
        <c:majorTickMark val="none"/>
        <c:minorTickMark val="none"/>
        <c:tickLblPos val="nextTo"/>
        <c:crossAx val="90077822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Annual</a:t>
            </a:r>
            <a:r>
              <a:rPr lang="en-US" baseline="0"/>
              <a:t> Salary by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Tables'!$J$1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invertIfNegative val="0"/>
          <c:cat>
            <c:strRef>
              <c:f>'Pivot Tables'!$I$2:$I$42</c:f>
              <c:strCache>
                <c:ptCount val="40"/>
                <c:pt idx="0">
                  <c:v>Production Assistant</c:v>
                </c:pt>
                <c:pt idx="1">
                  <c:v>Customer Service Associate</c:v>
                </c:pt>
                <c:pt idx="2">
                  <c:v>HR Assistant</c:v>
                </c:pt>
                <c:pt idx="3">
                  <c:v>Operations Assistant</c:v>
                </c:pt>
                <c:pt idx="4">
                  <c:v>R&amp;D Assistant</c:v>
                </c:pt>
                <c:pt idx="5">
                  <c:v>QA Assistant</c:v>
                </c:pt>
                <c:pt idx="6">
                  <c:v>Marketing Assistant</c:v>
                </c:pt>
                <c:pt idx="7">
                  <c:v>Customer Service Representative</c:v>
                </c:pt>
                <c:pt idx="8">
                  <c:v>Operations Coordinator</c:v>
                </c:pt>
                <c:pt idx="9">
                  <c:v>Junior IT Specialist</c:v>
                </c:pt>
                <c:pt idx="10">
                  <c:v>Marketing Coordinator</c:v>
                </c:pt>
                <c:pt idx="11">
                  <c:v>Junior Financial Analyst</c:v>
                </c:pt>
                <c:pt idx="12">
                  <c:v>Sales Representative</c:v>
                </c:pt>
                <c:pt idx="13">
                  <c:v>R&amp;D Technician</c:v>
                </c:pt>
                <c:pt idx="14">
                  <c:v>HR Coordinator</c:v>
                </c:pt>
                <c:pt idx="15">
                  <c:v>Marketing Specialist</c:v>
                </c:pt>
                <c:pt idx="16">
                  <c:v>Senior Customer Service Representative</c:v>
                </c:pt>
                <c:pt idx="17">
                  <c:v>HR Generalist</c:v>
                </c:pt>
                <c:pt idx="18">
                  <c:v>Sales Coordinator</c:v>
                </c:pt>
                <c:pt idx="19">
                  <c:v>Production Supervisor</c:v>
                </c:pt>
                <c:pt idx="20">
                  <c:v>Assistant Operations Manager</c:v>
                </c:pt>
                <c:pt idx="21">
                  <c:v>Senior Sales Representative</c:v>
                </c:pt>
                <c:pt idx="22">
                  <c:v>Financial Analyst</c:v>
                </c:pt>
                <c:pt idx="23">
                  <c:v>QA Analyst</c:v>
                </c:pt>
                <c:pt idx="24">
                  <c:v>R&amp;D Engineer</c:v>
                </c:pt>
                <c:pt idx="25">
                  <c:v>HR Manager</c:v>
                </c:pt>
                <c:pt idx="26">
                  <c:v>IT Specialist</c:v>
                </c:pt>
                <c:pt idx="27">
                  <c:v>Senior Financial Analyst</c:v>
                </c:pt>
                <c:pt idx="28">
                  <c:v>Senior Production Supervisor</c:v>
                </c:pt>
                <c:pt idx="29">
                  <c:v>Senior QA Analyst</c:v>
                </c:pt>
                <c:pt idx="30">
                  <c:v>Operations Manager</c:v>
                </c:pt>
                <c:pt idx="31">
                  <c:v>Marketing Manager</c:v>
                </c:pt>
                <c:pt idx="32">
                  <c:v>Customer Service Manager</c:v>
                </c:pt>
                <c:pt idx="33">
                  <c:v>R&amp;D Manager</c:v>
                </c:pt>
                <c:pt idx="34">
                  <c:v>Finance Manager</c:v>
                </c:pt>
                <c:pt idx="35">
                  <c:v>Senior IT Specialist</c:v>
                </c:pt>
                <c:pt idx="36">
                  <c:v>Production Manager</c:v>
                </c:pt>
                <c:pt idx="37">
                  <c:v>Sales Manager</c:v>
                </c:pt>
                <c:pt idx="38">
                  <c:v>QA Manager</c:v>
                </c:pt>
                <c:pt idx="39">
                  <c:v>IT Manager</c:v>
                </c:pt>
              </c:strCache>
            </c:strRef>
          </c:cat>
          <c:val>
            <c:numRef>
              <c:f>'Pivot Tables'!$J$2:$J$42</c:f>
              <c:numCache>
                <c:formatCode>"$"#,##0</c:formatCode>
                <c:ptCount val="40"/>
                <c:pt idx="0">
                  <c:v>40000</c:v>
                </c:pt>
                <c:pt idx="1">
                  <c:v>40000</c:v>
                </c:pt>
                <c:pt idx="2">
                  <c:v>42000</c:v>
                </c:pt>
                <c:pt idx="3">
                  <c:v>42000</c:v>
                </c:pt>
                <c:pt idx="4">
                  <c:v>42000</c:v>
                </c:pt>
                <c:pt idx="5">
                  <c:v>42000</c:v>
                </c:pt>
                <c:pt idx="6">
                  <c:v>42000</c:v>
                </c:pt>
                <c:pt idx="7">
                  <c:v>45000</c:v>
                </c:pt>
                <c:pt idx="8">
                  <c:v>48000</c:v>
                </c:pt>
                <c:pt idx="9">
                  <c:v>48000</c:v>
                </c:pt>
                <c:pt idx="10">
                  <c:v>48000</c:v>
                </c:pt>
                <c:pt idx="11">
                  <c:v>48000</c:v>
                </c:pt>
                <c:pt idx="12">
                  <c:v>48000</c:v>
                </c:pt>
                <c:pt idx="13">
                  <c:v>48000</c:v>
                </c:pt>
                <c:pt idx="14">
                  <c:v>48000</c:v>
                </c:pt>
                <c:pt idx="15">
                  <c:v>50000</c:v>
                </c:pt>
                <c:pt idx="16">
                  <c:v>50000</c:v>
                </c:pt>
                <c:pt idx="17">
                  <c:v>50000</c:v>
                </c:pt>
                <c:pt idx="18">
                  <c:v>50000</c:v>
                </c:pt>
                <c:pt idx="19">
                  <c:v>52000</c:v>
                </c:pt>
                <c:pt idx="20">
                  <c:v>55000</c:v>
                </c:pt>
                <c:pt idx="21">
                  <c:v>55000</c:v>
                </c:pt>
                <c:pt idx="22">
                  <c:v>55000</c:v>
                </c:pt>
                <c:pt idx="23">
                  <c:v>56000</c:v>
                </c:pt>
                <c:pt idx="24">
                  <c:v>58000</c:v>
                </c:pt>
                <c:pt idx="25">
                  <c:v>60000</c:v>
                </c:pt>
                <c:pt idx="26">
                  <c:v>60000</c:v>
                </c:pt>
                <c:pt idx="27">
                  <c:v>60000</c:v>
                </c:pt>
                <c:pt idx="28">
                  <c:v>60000</c:v>
                </c:pt>
                <c:pt idx="29">
                  <c:v>62000</c:v>
                </c:pt>
                <c:pt idx="30">
                  <c:v>65000</c:v>
                </c:pt>
                <c:pt idx="31">
                  <c:v>65000</c:v>
                </c:pt>
                <c:pt idx="32">
                  <c:v>68000</c:v>
                </c:pt>
                <c:pt idx="33">
                  <c:v>70000</c:v>
                </c:pt>
                <c:pt idx="34">
                  <c:v>70000</c:v>
                </c:pt>
                <c:pt idx="35">
                  <c:v>70000</c:v>
                </c:pt>
                <c:pt idx="36">
                  <c:v>72000</c:v>
                </c:pt>
                <c:pt idx="37">
                  <c:v>72000</c:v>
                </c:pt>
                <c:pt idx="38">
                  <c:v>75000</c:v>
                </c:pt>
                <c:pt idx="39">
                  <c:v>75000</c:v>
                </c:pt>
              </c:numCache>
            </c:numRef>
          </c:val>
          <c:extLst>
            <c:ext xmlns:c16="http://schemas.microsoft.com/office/drawing/2014/chart" uri="{C3380CC4-5D6E-409C-BE32-E72D297353CC}">
              <c16:uniqueId val="{00000000-9A92-4D51-8A2F-3BF7718F725F}"/>
            </c:ext>
          </c:extLst>
        </c:ser>
        <c:dLbls>
          <c:showLegendKey val="0"/>
          <c:showVal val="0"/>
          <c:showCatName val="0"/>
          <c:showSerName val="0"/>
          <c:showPercent val="0"/>
          <c:showBubbleSize val="0"/>
        </c:dLbls>
        <c:gapWidth val="115"/>
        <c:overlap val="-20"/>
        <c:axId val="1536278911"/>
        <c:axId val="1536265951"/>
      </c:barChart>
      <c:catAx>
        <c:axId val="15362789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Designation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65951"/>
        <c:crosses val="autoZero"/>
        <c:auto val="1"/>
        <c:lblAlgn val="ctr"/>
        <c:lblOffset val="100"/>
        <c:noMultiLvlLbl val="0"/>
      </c:catAx>
      <c:valAx>
        <c:axId val="153626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Hiring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Tables'!$P$1</c:f>
              <c:strCache>
                <c:ptCount val="1"/>
                <c:pt idx="0">
                  <c:v>Total</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cat>
            <c:strRef>
              <c:f>'Pivot Tables'!$O$2:$O$14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Tables'!$P$2:$P$14</c:f>
              <c:numCache>
                <c:formatCode>General</c:formatCode>
                <c:ptCount val="12"/>
                <c:pt idx="0">
                  <c:v>1</c:v>
                </c:pt>
                <c:pt idx="1">
                  <c:v>2</c:v>
                </c:pt>
                <c:pt idx="2">
                  <c:v>4</c:v>
                </c:pt>
                <c:pt idx="3">
                  <c:v>4</c:v>
                </c:pt>
                <c:pt idx="4">
                  <c:v>3</c:v>
                </c:pt>
                <c:pt idx="5">
                  <c:v>5</c:v>
                </c:pt>
                <c:pt idx="6">
                  <c:v>4</c:v>
                </c:pt>
                <c:pt idx="7">
                  <c:v>3</c:v>
                </c:pt>
                <c:pt idx="8">
                  <c:v>5</c:v>
                </c:pt>
                <c:pt idx="9">
                  <c:v>4</c:v>
                </c:pt>
                <c:pt idx="10">
                  <c:v>4</c:v>
                </c:pt>
                <c:pt idx="11">
                  <c:v>1</c:v>
                </c:pt>
              </c:numCache>
            </c:numRef>
          </c:val>
          <c:smooth val="0"/>
          <c:extLst>
            <c:ext xmlns:c16="http://schemas.microsoft.com/office/drawing/2014/chart" uri="{C3380CC4-5D6E-409C-BE32-E72D297353CC}">
              <c16:uniqueId val="{00000000-33DB-46E9-928D-B371B2ABA4BC}"/>
            </c:ext>
          </c:extLst>
        </c:ser>
        <c:dLbls>
          <c:showLegendKey val="0"/>
          <c:showVal val="0"/>
          <c:showCatName val="0"/>
          <c:showSerName val="0"/>
          <c:showPercent val="0"/>
          <c:showBubbleSize val="0"/>
        </c:dLbls>
        <c:marker val="1"/>
        <c:smooth val="0"/>
        <c:axId val="1536274591"/>
        <c:axId val="1536276991"/>
      </c:lineChart>
      <c:catAx>
        <c:axId val="15362745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Hire</a:t>
                </a:r>
                <a:r>
                  <a:rPr lang="en-US" baseline="0"/>
                  <a:t> Date</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6991"/>
        <c:crosses val="autoZero"/>
        <c:auto val="1"/>
        <c:lblAlgn val="ctr"/>
        <c:lblOffset val="100"/>
        <c:noMultiLvlLbl val="0"/>
      </c:catAx>
      <c:valAx>
        <c:axId val="153627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 Spend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Annual Salary</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Tables'!$A$2:$A$12</c:f>
              <c:strCache>
                <c:ptCount val="10"/>
                <c:pt idx="0">
                  <c:v>Customer Service</c:v>
                </c:pt>
                <c:pt idx="1">
                  <c:v>Finance</c:v>
                </c:pt>
                <c:pt idx="2">
                  <c:v>Human Resources</c:v>
                </c:pt>
                <c:pt idx="3">
                  <c:v>Information Technology</c:v>
                </c:pt>
                <c:pt idx="4">
                  <c:v>Marketing</c:v>
                </c:pt>
                <c:pt idx="5">
                  <c:v>Operations</c:v>
                </c:pt>
                <c:pt idx="6">
                  <c:v>Production</c:v>
                </c:pt>
                <c:pt idx="7">
                  <c:v>Quality Assurance</c:v>
                </c:pt>
                <c:pt idx="8">
                  <c:v>Research and Development</c:v>
                </c:pt>
                <c:pt idx="9">
                  <c:v>Sales</c:v>
                </c:pt>
              </c:strCache>
            </c:strRef>
          </c:cat>
          <c:val>
            <c:numRef>
              <c:f>'Pivot Tables'!$B$2:$B$12</c:f>
              <c:numCache>
                <c:formatCode>"$"#,##0</c:formatCode>
                <c:ptCount val="10"/>
                <c:pt idx="0">
                  <c:v>203000</c:v>
                </c:pt>
                <c:pt idx="1">
                  <c:v>233000</c:v>
                </c:pt>
                <c:pt idx="2">
                  <c:v>200000</c:v>
                </c:pt>
                <c:pt idx="3">
                  <c:v>253000</c:v>
                </c:pt>
                <c:pt idx="4">
                  <c:v>205000</c:v>
                </c:pt>
                <c:pt idx="5">
                  <c:v>210000</c:v>
                </c:pt>
                <c:pt idx="6">
                  <c:v>224000</c:v>
                </c:pt>
                <c:pt idx="7">
                  <c:v>235000</c:v>
                </c:pt>
                <c:pt idx="8">
                  <c:v>218000</c:v>
                </c:pt>
                <c:pt idx="9">
                  <c:v>225000</c:v>
                </c:pt>
              </c:numCache>
            </c:numRef>
          </c:val>
          <c:extLst>
            <c:ext xmlns:c16="http://schemas.microsoft.com/office/drawing/2014/chart" uri="{C3380CC4-5D6E-409C-BE32-E72D297353CC}">
              <c16:uniqueId val="{00000000-F3B7-4F70-BD25-0CB1BA5F7868}"/>
            </c:ext>
          </c:extLst>
        </c:ser>
        <c:dLbls>
          <c:showLegendKey val="0"/>
          <c:showVal val="0"/>
          <c:showCatName val="0"/>
          <c:showSerName val="0"/>
          <c:showPercent val="0"/>
          <c:showBubbleSize val="0"/>
        </c:dLbls>
        <c:gapWidth val="219"/>
        <c:axId val="1181040767"/>
        <c:axId val="1181025407"/>
      </c:barChart>
      <c:lineChart>
        <c:grouping val="standard"/>
        <c:varyColors val="0"/>
        <c:ser>
          <c:idx val="1"/>
          <c:order val="1"/>
          <c:tx>
            <c:strRef>
              <c:f>'Pivot Tables'!$C$1</c:f>
              <c:strCache>
                <c:ptCount val="1"/>
                <c:pt idx="0">
                  <c:v>Ave. Annual Salary</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Tables'!$A$2:$A$12</c:f>
              <c:strCache>
                <c:ptCount val="10"/>
                <c:pt idx="0">
                  <c:v>Customer Service</c:v>
                </c:pt>
                <c:pt idx="1">
                  <c:v>Finance</c:v>
                </c:pt>
                <c:pt idx="2">
                  <c:v>Human Resources</c:v>
                </c:pt>
                <c:pt idx="3">
                  <c:v>Information Technology</c:v>
                </c:pt>
                <c:pt idx="4">
                  <c:v>Marketing</c:v>
                </c:pt>
                <c:pt idx="5">
                  <c:v>Operations</c:v>
                </c:pt>
                <c:pt idx="6">
                  <c:v>Production</c:v>
                </c:pt>
                <c:pt idx="7">
                  <c:v>Quality Assurance</c:v>
                </c:pt>
                <c:pt idx="8">
                  <c:v>Research and Development</c:v>
                </c:pt>
                <c:pt idx="9">
                  <c:v>Sales</c:v>
                </c:pt>
              </c:strCache>
            </c:strRef>
          </c:cat>
          <c:val>
            <c:numRef>
              <c:f>'Pivot Tables'!$C$2:$C$12</c:f>
              <c:numCache>
                <c:formatCode>"$"#,##0</c:formatCode>
                <c:ptCount val="10"/>
                <c:pt idx="0">
                  <c:v>50750</c:v>
                </c:pt>
                <c:pt idx="1">
                  <c:v>58250</c:v>
                </c:pt>
                <c:pt idx="2">
                  <c:v>50000</c:v>
                </c:pt>
                <c:pt idx="3">
                  <c:v>63250</c:v>
                </c:pt>
                <c:pt idx="4">
                  <c:v>51250</c:v>
                </c:pt>
                <c:pt idx="5">
                  <c:v>52500</c:v>
                </c:pt>
                <c:pt idx="6">
                  <c:v>56000</c:v>
                </c:pt>
                <c:pt idx="7">
                  <c:v>58750</c:v>
                </c:pt>
                <c:pt idx="8">
                  <c:v>54500</c:v>
                </c:pt>
                <c:pt idx="9">
                  <c:v>56250</c:v>
                </c:pt>
              </c:numCache>
            </c:numRef>
          </c:val>
          <c:smooth val="0"/>
          <c:extLst>
            <c:ext xmlns:c16="http://schemas.microsoft.com/office/drawing/2014/chart" uri="{C3380CC4-5D6E-409C-BE32-E72D297353CC}">
              <c16:uniqueId val="{00000001-F3B7-4F70-BD25-0CB1BA5F7868}"/>
            </c:ext>
          </c:extLst>
        </c:ser>
        <c:dLbls>
          <c:showLegendKey val="0"/>
          <c:showVal val="0"/>
          <c:showCatName val="0"/>
          <c:showSerName val="0"/>
          <c:showPercent val="0"/>
          <c:showBubbleSize val="0"/>
        </c:dLbls>
        <c:marker val="1"/>
        <c:smooth val="0"/>
        <c:axId val="900783023"/>
        <c:axId val="900778223"/>
      </c:lineChart>
      <c:catAx>
        <c:axId val="11810407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25407"/>
        <c:crosses val="autoZero"/>
        <c:auto val="1"/>
        <c:lblAlgn val="ctr"/>
        <c:lblOffset val="100"/>
        <c:noMultiLvlLbl val="0"/>
      </c:catAx>
      <c:valAx>
        <c:axId val="118102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Sum Annual</a:t>
                </a:r>
                <a:r>
                  <a:rPr lang="en-US" baseline="0"/>
                  <a:t> Salary</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40767"/>
        <c:crosses val="autoZero"/>
        <c:crossBetween val="between"/>
      </c:valAx>
      <c:valAx>
        <c:axId val="90077822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a:t>
                </a:r>
                <a:r>
                  <a:rPr lang="en-US" baseline="0"/>
                  <a:t> Annual Salary</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83023"/>
        <c:crosses val="max"/>
        <c:crossBetween val="between"/>
      </c:valAx>
      <c:catAx>
        <c:axId val="900783023"/>
        <c:scaling>
          <c:orientation val="minMax"/>
        </c:scaling>
        <c:delete val="1"/>
        <c:axPos val="b"/>
        <c:numFmt formatCode="General" sourceLinked="1"/>
        <c:majorTickMark val="none"/>
        <c:minorTickMark val="none"/>
        <c:tickLblPos val="nextTo"/>
        <c:crossAx val="900778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Annual</a:t>
            </a:r>
            <a:r>
              <a:rPr lang="en-US" baseline="0"/>
              <a:t> Salary by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invertIfNegative val="0"/>
          <c:cat>
            <c:strRef>
              <c:f>'Pivot Tables'!$I$2:$I$42</c:f>
              <c:strCache>
                <c:ptCount val="40"/>
                <c:pt idx="0">
                  <c:v>Production Assistant</c:v>
                </c:pt>
                <c:pt idx="1">
                  <c:v>Customer Service Associate</c:v>
                </c:pt>
                <c:pt idx="2">
                  <c:v>HR Assistant</c:v>
                </c:pt>
                <c:pt idx="3">
                  <c:v>Operations Assistant</c:v>
                </c:pt>
                <c:pt idx="4">
                  <c:v>R&amp;D Assistant</c:v>
                </c:pt>
                <c:pt idx="5">
                  <c:v>QA Assistant</c:v>
                </c:pt>
                <c:pt idx="6">
                  <c:v>Marketing Assistant</c:v>
                </c:pt>
                <c:pt idx="7">
                  <c:v>Customer Service Representative</c:v>
                </c:pt>
                <c:pt idx="8">
                  <c:v>Operations Coordinator</c:v>
                </c:pt>
                <c:pt idx="9">
                  <c:v>Junior IT Specialist</c:v>
                </c:pt>
                <c:pt idx="10">
                  <c:v>Marketing Coordinator</c:v>
                </c:pt>
                <c:pt idx="11">
                  <c:v>Junior Financial Analyst</c:v>
                </c:pt>
                <c:pt idx="12">
                  <c:v>Sales Representative</c:v>
                </c:pt>
                <c:pt idx="13">
                  <c:v>R&amp;D Technician</c:v>
                </c:pt>
                <c:pt idx="14">
                  <c:v>HR Coordinator</c:v>
                </c:pt>
                <c:pt idx="15">
                  <c:v>Marketing Specialist</c:v>
                </c:pt>
                <c:pt idx="16">
                  <c:v>Senior Customer Service Representative</c:v>
                </c:pt>
                <c:pt idx="17">
                  <c:v>HR Generalist</c:v>
                </c:pt>
                <c:pt idx="18">
                  <c:v>Sales Coordinator</c:v>
                </c:pt>
                <c:pt idx="19">
                  <c:v>Production Supervisor</c:v>
                </c:pt>
                <c:pt idx="20">
                  <c:v>Assistant Operations Manager</c:v>
                </c:pt>
                <c:pt idx="21">
                  <c:v>Senior Sales Representative</c:v>
                </c:pt>
                <c:pt idx="22">
                  <c:v>Financial Analyst</c:v>
                </c:pt>
                <c:pt idx="23">
                  <c:v>QA Analyst</c:v>
                </c:pt>
                <c:pt idx="24">
                  <c:v>R&amp;D Engineer</c:v>
                </c:pt>
                <c:pt idx="25">
                  <c:v>HR Manager</c:v>
                </c:pt>
                <c:pt idx="26">
                  <c:v>IT Specialist</c:v>
                </c:pt>
                <c:pt idx="27">
                  <c:v>Senior Financial Analyst</c:v>
                </c:pt>
                <c:pt idx="28">
                  <c:v>Senior Production Supervisor</c:v>
                </c:pt>
                <c:pt idx="29">
                  <c:v>Senior QA Analyst</c:v>
                </c:pt>
                <c:pt idx="30">
                  <c:v>Operations Manager</c:v>
                </c:pt>
                <c:pt idx="31">
                  <c:v>Marketing Manager</c:v>
                </c:pt>
                <c:pt idx="32">
                  <c:v>Customer Service Manager</c:v>
                </c:pt>
                <c:pt idx="33">
                  <c:v>R&amp;D Manager</c:v>
                </c:pt>
                <c:pt idx="34">
                  <c:v>Finance Manager</c:v>
                </c:pt>
                <c:pt idx="35">
                  <c:v>Senior IT Specialist</c:v>
                </c:pt>
                <c:pt idx="36">
                  <c:v>Production Manager</c:v>
                </c:pt>
                <c:pt idx="37">
                  <c:v>Sales Manager</c:v>
                </c:pt>
                <c:pt idx="38">
                  <c:v>QA Manager</c:v>
                </c:pt>
                <c:pt idx="39">
                  <c:v>IT Manager</c:v>
                </c:pt>
              </c:strCache>
            </c:strRef>
          </c:cat>
          <c:val>
            <c:numRef>
              <c:f>'Pivot Tables'!$J$2:$J$42</c:f>
              <c:numCache>
                <c:formatCode>"$"#,##0</c:formatCode>
                <c:ptCount val="40"/>
                <c:pt idx="0">
                  <c:v>40000</c:v>
                </c:pt>
                <c:pt idx="1">
                  <c:v>40000</c:v>
                </c:pt>
                <c:pt idx="2">
                  <c:v>42000</c:v>
                </c:pt>
                <c:pt idx="3">
                  <c:v>42000</c:v>
                </c:pt>
                <c:pt idx="4">
                  <c:v>42000</c:v>
                </c:pt>
                <c:pt idx="5">
                  <c:v>42000</c:v>
                </c:pt>
                <c:pt idx="6">
                  <c:v>42000</c:v>
                </c:pt>
                <c:pt idx="7">
                  <c:v>45000</c:v>
                </c:pt>
                <c:pt idx="8">
                  <c:v>48000</c:v>
                </c:pt>
                <c:pt idx="9">
                  <c:v>48000</c:v>
                </c:pt>
                <c:pt idx="10">
                  <c:v>48000</c:v>
                </c:pt>
                <c:pt idx="11">
                  <c:v>48000</c:v>
                </c:pt>
                <c:pt idx="12">
                  <c:v>48000</c:v>
                </c:pt>
                <c:pt idx="13">
                  <c:v>48000</c:v>
                </c:pt>
                <c:pt idx="14">
                  <c:v>48000</c:v>
                </c:pt>
                <c:pt idx="15">
                  <c:v>50000</c:v>
                </c:pt>
                <c:pt idx="16">
                  <c:v>50000</c:v>
                </c:pt>
                <c:pt idx="17">
                  <c:v>50000</c:v>
                </c:pt>
                <c:pt idx="18">
                  <c:v>50000</c:v>
                </c:pt>
                <c:pt idx="19">
                  <c:v>52000</c:v>
                </c:pt>
                <c:pt idx="20">
                  <c:v>55000</c:v>
                </c:pt>
                <c:pt idx="21">
                  <c:v>55000</c:v>
                </c:pt>
                <c:pt idx="22">
                  <c:v>55000</c:v>
                </c:pt>
                <c:pt idx="23">
                  <c:v>56000</c:v>
                </c:pt>
                <c:pt idx="24">
                  <c:v>58000</c:v>
                </c:pt>
                <c:pt idx="25">
                  <c:v>60000</c:v>
                </c:pt>
                <c:pt idx="26">
                  <c:v>60000</c:v>
                </c:pt>
                <c:pt idx="27">
                  <c:v>60000</c:v>
                </c:pt>
                <c:pt idx="28">
                  <c:v>60000</c:v>
                </c:pt>
                <c:pt idx="29">
                  <c:v>62000</c:v>
                </c:pt>
                <c:pt idx="30">
                  <c:v>65000</c:v>
                </c:pt>
                <c:pt idx="31">
                  <c:v>65000</c:v>
                </c:pt>
                <c:pt idx="32">
                  <c:v>68000</c:v>
                </c:pt>
                <c:pt idx="33">
                  <c:v>70000</c:v>
                </c:pt>
                <c:pt idx="34">
                  <c:v>70000</c:v>
                </c:pt>
                <c:pt idx="35">
                  <c:v>70000</c:v>
                </c:pt>
                <c:pt idx="36">
                  <c:v>72000</c:v>
                </c:pt>
                <c:pt idx="37">
                  <c:v>72000</c:v>
                </c:pt>
                <c:pt idx="38">
                  <c:v>75000</c:v>
                </c:pt>
                <c:pt idx="39">
                  <c:v>75000</c:v>
                </c:pt>
              </c:numCache>
            </c:numRef>
          </c:val>
          <c:extLst>
            <c:ext xmlns:c16="http://schemas.microsoft.com/office/drawing/2014/chart" uri="{C3380CC4-5D6E-409C-BE32-E72D297353CC}">
              <c16:uniqueId val="{00000000-265F-4E2C-9BEB-96FCE9BCE90F}"/>
            </c:ext>
          </c:extLst>
        </c:ser>
        <c:dLbls>
          <c:showLegendKey val="0"/>
          <c:showVal val="0"/>
          <c:showCatName val="0"/>
          <c:showSerName val="0"/>
          <c:showPercent val="0"/>
          <c:showBubbleSize val="0"/>
        </c:dLbls>
        <c:gapWidth val="115"/>
        <c:overlap val="-20"/>
        <c:axId val="1536278911"/>
        <c:axId val="1536265951"/>
      </c:barChart>
      <c:catAx>
        <c:axId val="15362789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Designation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65951"/>
        <c:crosses val="autoZero"/>
        <c:auto val="1"/>
        <c:lblAlgn val="ctr"/>
        <c:lblOffset val="100"/>
        <c:noMultiLvlLbl val="0"/>
      </c:catAx>
      <c:valAx>
        <c:axId val="153626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Hiring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Tables'!$P$1</c:f>
              <c:strCache>
                <c:ptCount val="1"/>
                <c:pt idx="0">
                  <c:v>Total</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75000"/>
                  </a:schemeClr>
                </a:solidFill>
                <a:round/>
              </a:ln>
              <a:effectLst>
                <a:outerShdw blurRad="57150" dist="19050" dir="5400000" algn="ctr" rotWithShape="0">
                  <a:srgbClr val="000000">
                    <a:alpha val="63000"/>
                  </a:srgbClr>
                </a:outerShdw>
              </a:effectLst>
            </c:spPr>
          </c:marker>
          <c:cat>
            <c:strRef>
              <c:f>'Pivot Tables'!$O$2:$O$14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Tables'!$P$2:$P$14</c:f>
              <c:numCache>
                <c:formatCode>General</c:formatCode>
                <c:ptCount val="12"/>
                <c:pt idx="0">
                  <c:v>1</c:v>
                </c:pt>
                <c:pt idx="1">
                  <c:v>2</c:v>
                </c:pt>
                <c:pt idx="2">
                  <c:v>4</c:v>
                </c:pt>
                <c:pt idx="3">
                  <c:v>4</c:v>
                </c:pt>
                <c:pt idx="4">
                  <c:v>3</c:v>
                </c:pt>
                <c:pt idx="5">
                  <c:v>5</c:v>
                </c:pt>
                <c:pt idx="6">
                  <c:v>4</c:v>
                </c:pt>
                <c:pt idx="7">
                  <c:v>3</c:v>
                </c:pt>
                <c:pt idx="8">
                  <c:v>5</c:v>
                </c:pt>
                <c:pt idx="9">
                  <c:v>4</c:v>
                </c:pt>
                <c:pt idx="10">
                  <c:v>4</c:v>
                </c:pt>
                <c:pt idx="11">
                  <c:v>1</c:v>
                </c:pt>
              </c:numCache>
            </c:numRef>
          </c:val>
          <c:smooth val="0"/>
          <c:extLst>
            <c:ext xmlns:c16="http://schemas.microsoft.com/office/drawing/2014/chart" uri="{C3380CC4-5D6E-409C-BE32-E72D297353CC}">
              <c16:uniqueId val="{00000000-BFC2-405A-9565-E05B54D79C67}"/>
            </c:ext>
          </c:extLst>
        </c:ser>
        <c:dLbls>
          <c:showLegendKey val="0"/>
          <c:showVal val="0"/>
          <c:showCatName val="0"/>
          <c:showSerName val="0"/>
          <c:showPercent val="0"/>
          <c:showBubbleSize val="0"/>
        </c:dLbls>
        <c:marker val="1"/>
        <c:smooth val="0"/>
        <c:axId val="1536274591"/>
        <c:axId val="1536276991"/>
      </c:lineChart>
      <c:catAx>
        <c:axId val="15362745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Hire</a:t>
                </a:r>
                <a:r>
                  <a:rPr lang="en-US" baseline="0"/>
                  <a:t> Date</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6991"/>
        <c:crosses val="autoZero"/>
        <c:auto val="1"/>
        <c:lblAlgn val="ctr"/>
        <c:lblOffset val="100"/>
        <c:noMultiLvlLbl val="0"/>
      </c:catAx>
      <c:valAx>
        <c:axId val="153627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Tables!PivotTable5</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a:t>
            </a:r>
            <a:r>
              <a:rPr lang="en-US" baseline="0"/>
              <a:t> Count by Salary Range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1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1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4"/>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754051969918854"/>
          <c:y val="0.23517279090113735"/>
          <c:w val="0.53156242262170061"/>
          <c:h val="0.68475575969670466"/>
        </c:manualLayout>
      </c:layout>
      <c:pieChart>
        <c:varyColors val="1"/>
        <c:ser>
          <c:idx val="0"/>
          <c:order val="0"/>
          <c:tx>
            <c:strRef>
              <c:f>'Pivot Tables'!$V$1</c:f>
              <c:strCache>
                <c:ptCount val="1"/>
                <c:pt idx="0">
                  <c:v>Total</c:v>
                </c:pt>
              </c:strCache>
            </c:strRef>
          </c:tx>
          <c:dPt>
            <c:idx val="0"/>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AA-421E-8AE8-83791A671E0A}"/>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AA-421E-8AE8-83791A671E0A}"/>
              </c:ext>
            </c:extLst>
          </c:dPt>
          <c:dPt>
            <c:idx val="2"/>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AA-421E-8AE8-83791A671E0A}"/>
              </c:ext>
            </c:extLst>
          </c:dPt>
          <c:dPt>
            <c:idx val="3"/>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AA-421E-8AE8-83791A671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Tables'!$U$2:$U$6</c:f>
              <c:strCache>
                <c:ptCount val="4"/>
                <c:pt idx="0">
                  <c:v>40k-50k</c:v>
                </c:pt>
                <c:pt idx="1">
                  <c:v>50k-60k</c:v>
                </c:pt>
                <c:pt idx="2">
                  <c:v>60k-70k</c:v>
                </c:pt>
                <c:pt idx="3">
                  <c:v>70k-80k</c:v>
                </c:pt>
              </c:strCache>
            </c:strRef>
          </c:cat>
          <c:val>
            <c:numRef>
              <c:f>'Pivot Tables'!$V$2:$V$6</c:f>
              <c:numCache>
                <c:formatCode>General</c:formatCode>
                <c:ptCount val="4"/>
                <c:pt idx="0">
                  <c:v>15</c:v>
                </c:pt>
                <c:pt idx="1">
                  <c:v>10</c:v>
                </c:pt>
                <c:pt idx="2">
                  <c:v>8</c:v>
                </c:pt>
                <c:pt idx="3">
                  <c:v>7</c:v>
                </c:pt>
              </c:numCache>
            </c:numRef>
          </c:val>
          <c:extLst>
            <c:ext xmlns:c16="http://schemas.microsoft.com/office/drawing/2014/chart" uri="{C3380CC4-5D6E-409C-BE32-E72D297353CC}">
              <c16:uniqueId val="{00000008-C4AA-421E-8AE8-83791A671E0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867719365268025"/>
          <c:y val="0.44047353455818022"/>
          <c:w val="0.1615150936321639"/>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[Employee-Management-Dashboard.xlsx]Pivot Tables!PivotTable6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a:t>
            </a:r>
            <a:r>
              <a:rPr lang="en-US" baseline="0"/>
              <a:t> Count by Tenure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12927087835396"/>
          <c:y val="0.21081036745406828"/>
          <c:w val="0.54080484609097024"/>
          <c:h val="0.69196741032370956"/>
        </c:manualLayout>
      </c:layout>
      <c:pieChart>
        <c:varyColors val="1"/>
        <c:ser>
          <c:idx val="0"/>
          <c:order val="0"/>
          <c:tx>
            <c:strRef>
              <c:f>'Pivot Tables'!$AB$1</c:f>
              <c:strCache>
                <c:ptCount val="1"/>
                <c:pt idx="0">
                  <c:v>Total</c:v>
                </c:pt>
              </c:strCache>
            </c:strRef>
          </c:tx>
          <c:spPr>
            <a:solidFill>
              <a:srgbClr val="FFC000"/>
            </a:solidFill>
          </c:spPr>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E4-4AF4-A921-AF0C987F7268}"/>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E4-4AF4-A921-AF0C987F72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Tables'!$AA$2:$AA$4</c:f>
              <c:strCache>
                <c:ptCount val="2"/>
                <c:pt idx="0">
                  <c:v>2 Years</c:v>
                </c:pt>
                <c:pt idx="1">
                  <c:v>3 Years</c:v>
                </c:pt>
              </c:strCache>
            </c:strRef>
          </c:cat>
          <c:val>
            <c:numRef>
              <c:f>'Pivot Tables'!$AB$2:$AB$4</c:f>
              <c:numCache>
                <c:formatCode>General</c:formatCode>
                <c:ptCount val="2"/>
                <c:pt idx="0">
                  <c:v>28</c:v>
                </c:pt>
                <c:pt idx="1">
                  <c:v>12</c:v>
                </c:pt>
              </c:numCache>
            </c:numRef>
          </c:val>
          <c:extLst>
            <c:ext xmlns:c16="http://schemas.microsoft.com/office/drawing/2014/chart" uri="{C3380CC4-5D6E-409C-BE32-E72D297353CC}">
              <c16:uniqueId val="{00000004-BAE4-4AF4-A921-AF0C987F72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811692886791116"/>
          <c:y val="0.48792760279965003"/>
          <c:w val="0.1522810924217719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19</xdr:col>
      <xdr:colOff>419100</xdr:colOff>
      <xdr:row>8</xdr:row>
      <xdr:rowOff>42862</xdr:rowOff>
    </xdr:from>
    <xdr:to>
      <xdr:col>24</xdr:col>
      <xdr:colOff>152400</xdr:colOff>
      <xdr:row>22</xdr:row>
      <xdr:rowOff>119062</xdr:rowOff>
    </xdr:to>
    <xdr:graphicFrame macro="">
      <xdr:nvGraphicFramePr>
        <xdr:cNvPr id="2" name="Chart 1">
          <a:extLst>
            <a:ext uri="{FF2B5EF4-FFF2-40B4-BE49-F238E27FC236}">
              <a16:creationId xmlns:a16="http://schemas.microsoft.com/office/drawing/2014/main" id="{8B339D91-67A4-3784-3E68-8302C69BE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538161</xdr:colOff>
      <xdr:row>8</xdr:row>
      <xdr:rowOff>52387</xdr:rowOff>
    </xdr:from>
    <xdr:to>
      <xdr:col>28</xdr:col>
      <xdr:colOff>1000124</xdr:colOff>
      <xdr:row>22</xdr:row>
      <xdr:rowOff>128587</xdr:rowOff>
    </xdr:to>
    <xdr:graphicFrame macro="">
      <xdr:nvGraphicFramePr>
        <xdr:cNvPr id="3" name="Chart 2">
          <a:extLst>
            <a:ext uri="{FF2B5EF4-FFF2-40B4-BE49-F238E27FC236}">
              <a16:creationId xmlns:a16="http://schemas.microsoft.com/office/drawing/2014/main" id="{DB0EB33F-1BC8-26D0-9344-E324063EC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13</xdr:row>
      <xdr:rowOff>190499</xdr:rowOff>
    </xdr:from>
    <xdr:to>
      <xdr:col>7</xdr:col>
      <xdr:colOff>142875</xdr:colOff>
      <xdr:row>31</xdr:row>
      <xdr:rowOff>85724</xdr:rowOff>
    </xdr:to>
    <xdr:graphicFrame macro="">
      <xdr:nvGraphicFramePr>
        <xdr:cNvPr id="4" name="Chart 3">
          <a:extLst>
            <a:ext uri="{FF2B5EF4-FFF2-40B4-BE49-F238E27FC236}">
              <a16:creationId xmlns:a16="http://schemas.microsoft.com/office/drawing/2014/main" id="{40ABE15C-E9D3-0C54-5B1E-1FE8D65A4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352424</xdr:colOff>
      <xdr:row>42</xdr:row>
      <xdr:rowOff>114301</xdr:rowOff>
    </xdr:from>
    <xdr:to>
      <xdr:col>12</xdr:col>
      <xdr:colOff>561974</xdr:colOff>
      <xdr:row>65</xdr:row>
      <xdr:rowOff>19051</xdr:rowOff>
    </xdr:to>
    <xdr:graphicFrame macro="">
      <xdr:nvGraphicFramePr>
        <xdr:cNvPr id="5" name="Chart 4">
          <a:extLst>
            <a:ext uri="{FF2B5EF4-FFF2-40B4-BE49-F238E27FC236}">
              <a16:creationId xmlns:a16="http://schemas.microsoft.com/office/drawing/2014/main" id="{B7CDBCA7-C400-57C2-0DF6-63DAF689B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1185861</xdr:colOff>
      <xdr:row>16</xdr:row>
      <xdr:rowOff>33337</xdr:rowOff>
    </xdr:from>
    <xdr:to>
      <xdr:col>18</xdr:col>
      <xdr:colOff>142874</xdr:colOff>
      <xdr:row>30</xdr:row>
      <xdr:rowOff>109537</xdr:rowOff>
    </xdr:to>
    <xdr:graphicFrame macro="">
      <xdr:nvGraphicFramePr>
        <xdr:cNvPr id="6" name="Chart 5">
          <a:extLst>
            <a:ext uri="{FF2B5EF4-FFF2-40B4-BE49-F238E27FC236}">
              <a16:creationId xmlns:a16="http://schemas.microsoft.com/office/drawing/2014/main" id="{24F0F0FF-81B0-E7BD-BA2B-B101D071B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9526</xdr:colOff>
      <xdr:row>4</xdr:row>
      <xdr:rowOff>9525</xdr:rowOff>
    </xdr:from>
    <xdr:to>
      <xdr:col>9</xdr:col>
      <xdr:colOff>476250</xdr:colOff>
      <xdr:row>24</xdr:row>
      <xdr:rowOff>0</xdr:rowOff>
    </xdr:to>
    <xdr:graphicFrame macro="">
      <xdr:nvGraphicFramePr>
        <xdr:cNvPr id="2" name="Chart 1">
          <a:extLst>
            <a:ext uri="{FF2B5EF4-FFF2-40B4-BE49-F238E27FC236}">
              <a16:creationId xmlns:a16="http://schemas.microsoft.com/office/drawing/2014/main" id="{B9D9C6B6-3347-4129-94BF-1CF89999B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485775</xdr:colOff>
      <xdr:row>4</xdr:row>
      <xdr:rowOff>9525</xdr:rowOff>
    </xdr:from>
    <xdr:to>
      <xdr:col>20</xdr:col>
      <xdr:colOff>0</xdr:colOff>
      <xdr:row>24</xdr:row>
      <xdr:rowOff>0</xdr:rowOff>
    </xdr:to>
    <xdr:graphicFrame macro="">
      <xdr:nvGraphicFramePr>
        <xdr:cNvPr id="3" name="Chart 2">
          <a:extLst>
            <a:ext uri="{FF2B5EF4-FFF2-40B4-BE49-F238E27FC236}">
              <a16:creationId xmlns:a16="http://schemas.microsoft.com/office/drawing/2014/main" id="{4AF0A438-8E50-4CE6-A391-661AAD2BB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476250</xdr:colOff>
      <xdr:row>24</xdr:row>
      <xdr:rowOff>9525</xdr:rowOff>
    </xdr:from>
    <xdr:to>
      <xdr:col>14</xdr:col>
      <xdr:colOff>114300</xdr:colOff>
      <xdr:row>38</xdr:row>
      <xdr:rowOff>85725</xdr:rowOff>
    </xdr:to>
    <xdr:graphicFrame macro="">
      <xdr:nvGraphicFramePr>
        <xdr:cNvPr id="4" name="Chart 3">
          <a:extLst>
            <a:ext uri="{FF2B5EF4-FFF2-40B4-BE49-F238E27FC236}">
              <a16:creationId xmlns:a16="http://schemas.microsoft.com/office/drawing/2014/main" id="{B84E3A4E-5363-43AE-A7A8-F699A11CE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123825</xdr:colOff>
      <xdr:row>24</xdr:row>
      <xdr:rowOff>0</xdr:rowOff>
    </xdr:from>
    <xdr:to>
      <xdr:col>20</xdr:col>
      <xdr:colOff>0</xdr:colOff>
      <xdr:row>38</xdr:row>
      <xdr:rowOff>76200</xdr:rowOff>
    </xdr:to>
    <xdr:graphicFrame macro="">
      <xdr:nvGraphicFramePr>
        <xdr:cNvPr id="5" name="Chart 4">
          <a:extLst>
            <a:ext uri="{FF2B5EF4-FFF2-40B4-BE49-F238E27FC236}">
              <a16:creationId xmlns:a16="http://schemas.microsoft.com/office/drawing/2014/main" id="{B3DB909A-9569-48D7-9C4F-98BCD7B78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24</xdr:row>
      <xdr:rowOff>9525</xdr:rowOff>
    </xdr:from>
    <xdr:to>
      <xdr:col>5</xdr:col>
      <xdr:colOff>471488</xdr:colOff>
      <xdr:row>38</xdr:row>
      <xdr:rowOff>85725</xdr:rowOff>
    </xdr:to>
    <xdr:graphicFrame macro="">
      <xdr:nvGraphicFramePr>
        <xdr:cNvPr id="6" name="Chart 5">
          <a:extLst>
            <a:ext uri="{FF2B5EF4-FFF2-40B4-BE49-F238E27FC236}">
              <a16:creationId xmlns:a16="http://schemas.microsoft.com/office/drawing/2014/main" id="{86E7777B-95FA-43D9-AC15-1174B4327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9525</xdr:colOff>
      <xdr:row>4</xdr:row>
      <xdr:rowOff>9525</xdr:rowOff>
    </xdr:from>
    <xdr:to>
      <xdr:col>23</xdr:col>
      <xdr:colOff>9525</xdr:colOff>
      <xdr:row>21</xdr:row>
      <xdr:rowOff>125604</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A0D19EEB-D248-9F06-7A66-5DD37C4EA3F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151283" y="763151"/>
              <a:ext cx="1821264" cy="3318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xdr:colOff>
      <xdr:row>21</xdr:row>
      <xdr:rowOff>133244</xdr:rowOff>
    </xdr:from>
    <xdr:to>
      <xdr:col>23</xdr:col>
      <xdr:colOff>9525</xdr:colOff>
      <xdr:row>26</xdr:row>
      <xdr:rowOff>171345</xdr:rowOff>
    </xdr:to>
    <mc:AlternateContent xmlns:mc="http://schemas.openxmlformats.org/markup-compatibility/2006">
      <mc:Choice xmlns:a14="http://schemas.microsoft.com/office/drawing/2010/main" Requires="a14">
        <xdr:graphicFrame macro="">
          <xdr:nvGraphicFramePr>
            <xdr:cNvPr id="8" name="Tenure2">
              <a:extLst>
                <a:ext uri="{FF2B5EF4-FFF2-40B4-BE49-F238E27FC236}">
                  <a16:creationId xmlns:a16="http://schemas.microsoft.com/office/drawing/2014/main" id="{29081E4C-9166-8ECE-1803-C1C1BA54D196}"/>
                </a:ext>
              </a:extLst>
            </xdr:cNvPr>
            <xdr:cNvGraphicFramePr/>
          </xdr:nvGraphicFramePr>
          <xdr:xfrm>
            <a:off x="0" y="0"/>
            <a:ext cx="0" cy="0"/>
          </xdr:xfrm>
          <a:graphic>
            <a:graphicData uri="http://schemas.microsoft.com/office/drawing/2010/slicer">
              <sle:slicer xmlns:sle="http://schemas.microsoft.com/office/drawing/2010/slicer" name="Tenure2"/>
            </a:graphicData>
          </a:graphic>
        </xdr:graphicFrame>
      </mc:Choice>
      <mc:Fallback>
        <xdr:sp macro="" textlink="">
          <xdr:nvSpPr>
            <xdr:cNvPr id="0" name=""/>
            <xdr:cNvSpPr>
              <a:spLocks noTextEdit="1"/>
            </xdr:cNvSpPr>
          </xdr:nvSpPr>
          <xdr:spPr>
            <a:xfrm>
              <a:off x="12151283" y="4089782"/>
              <a:ext cx="1821264" cy="980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xdr:colOff>
      <xdr:row>26</xdr:row>
      <xdr:rowOff>180868</xdr:rowOff>
    </xdr:from>
    <xdr:to>
      <xdr:col>23</xdr:col>
      <xdr:colOff>9525</xdr:colOff>
      <xdr:row>35</xdr:row>
      <xdr:rowOff>41867</xdr:rowOff>
    </xdr:to>
    <mc:AlternateContent xmlns:mc="http://schemas.openxmlformats.org/markup-compatibility/2006">
      <mc:Choice xmlns:a14="http://schemas.microsoft.com/office/drawing/2010/main" Requires="a14">
        <xdr:graphicFrame macro="">
          <xdr:nvGraphicFramePr>
            <xdr:cNvPr id="9" name="Salary Range">
              <a:extLst>
                <a:ext uri="{FF2B5EF4-FFF2-40B4-BE49-F238E27FC236}">
                  <a16:creationId xmlns:a16="http://schemas.microsoft.com/office/drawing/2014/main" id="{DB8BD4D5-78A3-A5FF-01FD-978C300F8470}"/>
                </a:ext>
              </a:extLst>
            </xdr:cNvPr>
            <xdr:cNvGraphicFramePr/>
          </xdr:nvGraphicFramePr>
          <xdr:xfrm>
            <a:off x="0" y="0"/>
            <a:ext cx="0" cy="0"/>
          </xdr:xfrm>
          <a:graphic>
            <a:graphicData uri="http://schemas.microsoft.com/office/drawing/2010/slicer">
              <sle:slicer xmlns:sle="http://schemas.microsoft.com/office/drawing/2010/slicer" name="Salary Range"/>
            </a:graphicData>
          </a:graphic>
        </xdr:graphicFrame>
      </mc:Choice>
      <mc:Fallback>
        <xdr:sp macro="" textlink="">
          <xdr:nvSpPr>
            <xdr:cNvPr id="0" name=""/>
            <xdr:cNvSpPr>
              <a:spLocks noTextEdit="1"/>
            </xdr:cNvSpPr>
          </xdr:nvSpPr>
          <xdr:spPr>
            <a:xfrm>
              <a:off x="12151283" y="5079439"/>
              <a:ext cx="1821264" cy="1556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7.939637268515" createdVersion="8" refreshedVersion="8" minRefreshableVersion="3" recordCount="40" xr:uid="{22C5115F-5BE9-4485-9A78-B23C09CC6D4F}">
  <cacheSource type="worksheet">
    <worksheetSource ref="A1:I41" sheet="Worksheet"/>
  </cacheSource>
  <cacheFields count="11">
    <cacheField name="Employee ID" numFmtId="0">
      <sharedItems/>
    </cacheField>
    <cacheField name="Full Name" numFmtId="0">
      <sharedItems/>
    </cacheField>
    <cacheField name="Department" numFmtId="0">
      <sharedItems count="10">
        <s v="Operations"/>
        <s v="Finance"/>
        <s v="Customer Service"/>
        <s v="Production"/>
        <s v="Information Technology"/>
        <s v="Human Resources"/>
        <s v="Marketing"/>
        <s v="Research and Development"/>
        <s v="Sales"/>
        <s v="Quality Assurance"/>
      </sharedItems>
    </cacheField>
    <cacheField name="Designation" numFmtId="0">
      <sharedItems count="40">
        <s v="Operations Assistant"/>
        <s v="Junior Financial Analyst"/>
        <s v="Finance Manager"/>
        <s v="Senior Financial Analyst"/>
        <s v="Customer Service Representative"/>
        <s v="Operations Coordinator"/>
        <s v="Production Assistant"/>
        <s v="Assistant Operations Manager"/>
        <s v="Financial Analyst"/>
        <s v="Production Manager"/>
        <s v="Junior IT Specialist"/>
        <s v="IT Specialist"/>
        <s v="Senior Production Supervisor"/>
        <s v="HR Coordinator"/>
        <s v="Senior IT Specialist"/>
        <s v="Marketing Specialist"/>
        <s v="IT Manager"/>
        <s v="R&amp;D Assistant"/>
        <s v="Production Supervisor"/>
        <s v="HR Generalist"/>
        <s v="HR Assistant"/>
        <s v="Operations Manager"/>
        <s v="R&amp;D Manager"/>
        <s v="Sales Coordinator"/>
        <s v="Marketing Manager"/>
        <s v="R&amp;D Technician"/>
        <s v="Senior Sales Representative"/>
        <s v="HR Manager"/>
        <s v="Sales Manager"/>
        <s v="Marketing Coordinator"/>
        <s v="R&amp;D Engineer"/>
        <s v="Marketing Assistant"/>
        <s v="Customer Service Associate"/>
        <s v="Senior Customer Service Representative"/>
        <s v="Sales Representative"/>
        <s v="QA Assistant"/>
        <s v="Customer Service Manager"/>
        <s v="Senior QA Analyst"/>
        <s v="QA Analyst"/>
        <s v="QA Manager"/>
      </sharedItems>
    </cacheField>
    <cacheField name="Hire Date" numFmtId="165">
      <sharedItems containsSemiMixedTypes="0" containsNonDate="0" containsDate="1" containsString="0" minDate="2023-01-17T00:00:00" maxDate="2023-12-04T00:00:00" count="40">
        <d v="2023-12-03T00:00:00"/>
        <d v="2023-11-26T00:00:00"/>
        <d v="2023-11-18T00:00:00"/>
        <d v="2023-11-12T00:00:00"/>
        <d v="2023-11-05T00:00:00"/>
        <d v="2023-10-29T00:00:00"/>
        <d v="2023-10-25T00:00:00"/>
        <d v="2023-10-15T00:00:00"/>
        <d v="2023-10-10T00:00:00"/>
        <d v="2023-09-30T00:00:00"/>
        <d v="2023-09-20T00:00:00"/>
        <d v="2023-09-12T00:00:00"/>
        <d v="2023-09-08T00:00:00"/>
        <d v="2023-09-01T00:00:00"/>
        <d v="2023-08-30T00:00:00"/>
        <d v="2023-08-20T00:00:00"/>
        <d v="2023-08-08T00:00:00"/>
        <d v="2023-07-30T00:00:00"/>
        <d v="2023-07-22T00:00:00"/>
        <d v="2023-07-17T00:00:00"/>
        <d v="2023-07-05T00:00:00"/>
        <d v="2023-06-30T00:00:00"/>
        <d v="2023-06-25T00:00:00"/>
        <d v="2023-06-17T00:00:00"/>
        <d v="2023-06-10T00:00:00"/>
        <d v="2023-06-01T00:00:00"/>
        <d v="2023-05-25T00:00:00"/>
        <d v="2023-05-15T00:00:00"/>
        <d v="2023-05-03T00:00:00"/>
        <d v="2023-04-28T00:00:00"/>
        <d v="2023-04-18T00:00:00"/>
        <d v="2023-04-10T00:00:00"/>
        <d v="2023-04-06T00:00:00"/>
        <d v="2023-03-28T00:00:00"/>
        <d v="2023-03-25T00:00:00"/>
        <d v="2023-03-20T00:00:00"/>
        <d v="2023-03-12T00:00:00"/>
        <d v="2023-02-22T00:00:00"/>
        <d v="2023-02-14T00:00:00"/>
        <d v="2023-01-17T00:00:00"/>
      </sharedItems>
      <fieldGroup par="10"/>
    </cacheField>
    <cacheField name="Tenure" numFmtId="172">
      <sharedItems containsSemiMixedTypes="0" containsString="0" containsNumber="1" minValue="2.338888888888889" maxValue="3.2166666666666668"/>
    </cacheField>
    <cacheField name="Tenure2" numFmtId="0">
      <sharedItems count="2">
        <s v="2 Years"/>
        <s v="3 Years"/>
      </sharedItems>
    </cacheField>
    <cacheField name="Annual Salary" numFmtId="171">
      <sharedItems containsSemiMixedTypes="0" containsString="0" containsNumber="1" containsInteger="1" minValue="40000" maxValue="75000"/>
    </cacheField>
    <cacheField name="Salary Range" numFmtId="0">
      <sharedItems count="4">
        <s v="40k-50k"/>
        <s v="70k-80k"/>
        <s v="60k-70k"/>
        <s v="50k-60k"/>
      </sharedItems>
    </cacheField>
    <cacheField name="Days (Hire Date)" numFmtId="0" databaseField="0">
      <fieldGroup base="4">
        <rangePr groupBy="days" startDate="2023-01-17T00:00:00" endDate="2023-12-04T00:00:00"/>
        <groupItems count="368">
          <s v="&lt;1/17/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23"/>
        </groupItems>
      </fieldGroup>
    </cacheField>
    <cacheField name="Months (Hire Date)" numFmtId="0" databaseField="0">
      <fieldGroup base="4">
        <rangePr groupBy="months" startDate="2023-01-17T00:00:00" endDate="2023-12-04T00:00:00"/>
        <groupItems count="14">
          <s v="&lt;1/17/2023"/>
          <s v="Jan"/>
          <s v="Feb"/>
          <s v="Mar"/>
          <s v="Apr"/>
          <s v="May"/>
          <s v="Jun"/>
          <s v="Jul"/>
          <s v="Aug"/>
          <s v="Sep"/>
          <s v="Oct"/>
          <s v="Nov"/>
          <s v="Dec"/>
          <s v="&gt;12/4/2023"/>
        </groupItems>
      </fieldGroup>
    </cacheField>
  </cacheFields>
  <extLst>
    <ext xmlns:x14="http://schemas.microsoft.com/office/spreadsheetml/2009/9/main" uri="{725AE2AE-9491-48be-B2B4-4EB974FC3084}">
      <x14:pivotCacheDefinition pivotCacheId="321087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S1036"/>
    <s v="Emily Rodriguez"/>
    <x v="0"/>
    <x v="0"/>
    <x v="0"/>
    <n v="2.338888888888889"/>
    <x v="0"/>
    <n v="42000"/>
    <x v="0"/>
  </r>
  <r>
    <s v="S1033"/>
    <s v="David Brown"/>
    <x v="1"/>
    <x v="1"/>
    <x v="1"/>
    <n v="2.3583333333333334"/>
    <x v="0"/>
    <n v="48000"/>
    <x v="0"/>
  </r>
  <r>
    <s v="S1013"/>
    <s v="Richard Perez"/>
    <x v="1"/>
    <x v="2"/>
    <x v="2"/>
    <n v="2.3805555555555555"/>
    <x v="0"/>
    <n v="70000"/>
    <x v="1"/>
  </r>
  <r>
    <s v="S1023"/>
    <s v="Christopher Rodriguez"/>
    <x v="1"/>
    <x v="3"/>
    <x v="3"/>
    <n v="2.3972222222222221"/>
    <x v="0"/>
    <n v="60000"/>
    <x v="2"/>
  </r>
  <r>
    <s v="S1007"/>
    <s v="Daniel Martinez"/>
    <x v="2"/>
    <x v="4"/>
    <x v="4"/>
    <n v="2.4166666666666665"/>
    <x v="0"/>
    <n v="45000"/>
    <x v="0"/>
  </r>
  <r>
    <s v="S1016"/>
    <s v="Amanda Martinez"/>
    <x v="0"/>
    <x v="5"/>
    <x v="5"/>
    <n v="2.4333333333333331"/>
    <x v="0"/>
    <n v="48000"/>
    <x v="0"/>
  </r>
  <r>
    <s v="S1039"/>
    <s v="Michael Johnson"/>
    <x v="3"/>
    <x v="6"/>
    <x v="6"/>
    <n v="2.4444444444444446"/>
    <x v="0"/>
    <n v="40000"/>
    <x v="0"/>
  </r>
  <r>
    <s v="S1026"/>
    <s v="Sarah Smith"/>
    <x v="0"/>
    <x v="7"/>
    <x v="7"/>
    <n v="2.4722222222222223"/>
    <x v="0"/>
    <n v="55000"/>
    <x v="3"/>
  </r>
  <r>
    <s v="S1003"/>
    <s v="Michael Johnson"/>
    <x v="1"/>
    <x v="8"/>
    <x v="8"/>
    <n v="2.4861111111111112"/>
    <x v="0"/>
    <n v="55000"/>
    <x v="3"/>
  </r>
  <r>
    <s v="S1019"/>
    <s v="Daniel Smith"/>
    <x v="3"/>
    <x v="9"/>
    <x v="9"/>
    <n v="2.5138888888888888"/>
    <x v="0"/>
    <n v="72000"/>
    <x v="1"/>
  </r>
  <r>
    <s v="S1035"/>
    <s v="Matthew Hernandez"/>
    <x v="4"/>
    <x v="10"/>
    <x v="10"/>
    <n v="2.5416666666666665"/>
    <x v="0"/>
    <n v="48000"/>
    <x v="0"/>
  </r>
  <r>
    <s v="S1005"/>
    <s v="David Wilson"/>
    <x v="4"/>
    <x v="11"/>
    <x v="11"/>
    <n v="2.5638888888888891"/>
    <x v="0"/>
    <n v="60000"/>
    <x v="2"/>
  </r>
  <r>
    <s v="S1029"/>
    <s v="Daniel Wilson"/>
    <x v="3"/>
    <x v="12"/>
    <x v="12"/>
    <n v="2.5750000000000002"/>
    <x v="0"/>
    <n v="60000"/>
    <x v="2"/>
  </r>
  <r>
    <s v="S1011"/>
    <s v="William Hernandez"/>
    <x v="5"/>
    <x v="13"/>
    <x v="13"/>
    <n v="2.5944444444444446"/>
    <x v="0"/>
    <n v="48000"/>
    <x v="0"/>
  </r>
  <r>
    <s v="S1025"/>
    <s v="David Wilson"/>
    <x v="4"/>
    <x v="14"/>
    <x v="14"/>
    <n v="2.5972222222222223"/>
    <x v="0"/>
    <n v="70000"/>
    <x v="1"/>
  </r>
  <r>
    <s v="S1002"/>
    <s v="Jane Doe"/>
    <x v="6"/>
    <x v="15"/>
    <x v="15"/>
    <n v="2.625"/>
    <x v="0"/>
    <n v="50000"/>
    <x v="3"/>
  </r>
  <r>
    <s v="S1015"/>
    <s v="Matthew Wilson"/>
    <x v="4"/>
    <x v="16"/>
    <x v="16"/>
    <n v="2.6583333333333332"/>
    <x v="0"/>
    <n v="75000"/>
    <x v="1"/>
  </r>
  <r>
    <s v="S1038"/>
    <s v="Jennifer Smith"/>
    <x v="7"/>
    <x v="17"/>
    <x v="17"/>
    <n v="2.6805555555555554"/>
    <x v="0"/>
    <n v="42000"/>
    <x v="0"/>
  </r>
  <r>
    <s v="S1009"/>
    <s v="Christopher Thomas"/>
    <x v="3"/>
    <x v="18"/>
    <x v="18"/>
    <n v="2.7027777777777779"/>
    <x v="0"/>
    <n v="52000"/>
    <x v="3"/>
  </r>
  <r>
    <s v="S1031"/>
    <s v="Michael Smith"/>
    <x v="5"/>
    <x v="19"/>
    <x v="19"/>
    <n v="2.7166666666666668"/>
    <x v="0"/>
    <n v="50000"/>
    <x v="3"/>
  </r>
  <r>
    <s v="S1021"/>
    <s v="Michael Garcia"/>
    <x v="5"/>
    <x v="20"/>
    <x v="20"/>
    <n v="2.75"/>
    <x v="0"/>
    <n v="42000"/>
    <x v="0"/>
  </r>
  <r>
    <s v="S1006"/>
    <s v="Lisa Taylor"/>
    <x v="0"/>
    <x v="21"/>
    <x v="21"/>
    <n v="2.7638888888888888"/>
    <x v="0"/>
    <n v="65000"/>
    <x v="2"/>
  </r>
  <r>
    <s v="S1018"/>
    <s v="Laura Brown"/>
    <x v="7"/>
    <x v="22"/>
    <x v="22"/>
    <n v="2.7777777777777777"/>
    <x v="0"/>
    <n v="70000"/>
    <x v="1"/>
  </r>
  <r>
    <s v="S1034"/>
    <s v="Sarah Garcia"/>
    <x v="8"/>
    <x v="23"/>
    <x v="23"/>
    <n v="2.8"/>
    <x v="0"/>
    <n v="50000"/>
    <x v="3"/>
  </r>
  <r>
    <s v="S1012"/>
    <s v="Melissa Lopez"/>
    <x v="6"/>
    <x v="24"/>
    <x v="24"/>
    <n v="2.8194444444444446"/>
    <x v="0"/>
    <n v="65000"/>
    <x v="2"/>
  </r>
  <r>
    <s v="S1028"/>
    <s v="Emily Davis"/>
    <x v="7"/>
    <x v="25"/>
    <x v="25"/>
    <n v="2.8444444444444446"/>
    <x v="0"/>
    <n v="48000"/>
    <x v="0"/>
  </r>
  <r>
    <s v="S1024"/>
    <s v="Jessica Martinez"/>
    <x v="8"/>
    <x v="26"/>
    <x v="26"/>
    <n v="2.8611111111111112"/>
    <x v="0"/>
    <n v="55000"/>
    <x v="3"/>
  </r>
  <r>
    <s v="S1001"/>
    <s v="John Smith"/>
    <x v="5"/>
    <x v="27"/>
    <x v="27"/>
    <n v="2.8888888888888888"/>
    <x v="0"/>
    <n v="60000"/>
    <x v="2"/>
  </r>
  <r>
    <s v="S1014"/>
    <s v="Jessica Gonzalez"/>
    <x v="8"/>
    <x v="28"/>
    <x v="28"/>
    <n v="2.9222222222222221"/>
    <x v="1"/>
    <n v="72000"/>
    <x v="1"/>
  </r>
  <r>
    <s v="S1022"/>
    <s v="Amy Hernandez"/>
    <x v="6"/>
    <x v="29"/>
    <x v="29"/>
    <n v="2.9361111111111109"/>
    <x v="1"/>
    <n v="48000"/>
    <x v="0"/>
  </r>
  <r>
    <s v="S1008"/>
    <s v="Sarah Anderson"/>
    <x v="7"/>
    <x v="30"/>
    <x v="30"/>
    <n v="2.963888888888889"/>
    <x v="1"/>
    <n v="58000"/>
    <x v="3"/>
  </r>
  <r>
    <s v="S1032"/>
    <s v="Jessica Johnson"/>
    <x v="6"/>
    <x v="31"/>
    <x v="31"/>
    <n v="2.9861111111111112"/>
    <x v="1"/>
    <n v="42000"/>
    <x v="0"/>
  </r>
  <r>
    <s v="S1037"/>
    <s v="Daniel Davis"/>
    <x v="2"/>
    <x v="32"/>
    <x v="32"/>
    <n v="2.9972222222222222"/>
    <x v="1"/>
    <n v="40000"/>
    <x v="0"/>
  </r>
  <r>
    <s v="S1027"/>
    <s v="Matthew Johnson"/>
    <x v="2"/>
    <x v="33"/>
    <x v="33"/>
    <n v="3.0194444444444444"/>
    <x v="1"/>
    <n v="50000"/>
    <x v="3"/>
  </r>
  <r>
    <s v="S1004"/>
    <s v="Emily Brown"/>
    <x v="8"/>
    <x v="34"/>
    <x v="34"/>
    <n v="3.0277777777777777"/>
    <x v="1"/>
    <n v="48000"/>
    <x v="0"/>
  </r>
  <r>
    <s v="S1040"/>
    <s v="Jessica Martinez"/>
    <x v="9"/>
    <x v="35"/>
    <x v="35"/>
    <n v="3.0416666666666665"/>
    <x v="1"/>
    <n v="42000"/>
    <x v="0"/>
  </r>
  <r>
    <s v="S1017"/>
    <s v="James Johnson"/>
    <x v="2"/>
    <x v="36"/>
    <x v="36"/>
    <n v="3.0638888888888891"/>
    <x v="1"/>
    <n v="68000"/>
    <x v="2"/>
  </r>
  <r>
    <s v="S1030"/>
    <s v="Jennifer Martinez"/>
    <x v="9"/>
    <x v="37"/>
    <x v="37"/>
    <n v="3.1194444444444445"/>
    <x v="1"/>
    <n v="62000"/>
    <x v="2"/>
  </r>
  <r>
    <s v="S1010"/>
    <s v="Kimberly Garcia"/>
    <x v="9"/>
    <x v="38"/>
    <x v="38"/>
    <n v="3.1416666666666666"/>
    <x v="1"/>
    <n v="56000"/>
    <x v="3"/>
  </r>
  <r>
    <s v="S1020"/>
    <s v="Jennifer Davis"/>
    <x v="9"/>
    <x v="39"/>
    <x v="39"/>
    <n v="3.2166666666666668"/>
    <x v="1"/>
    <n v="75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64AAF-E398-4753-AAAF-78994581B8CF}"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nure">
  <location ref="AA1:AB4" firstHeaderRow="1" firstDataRow="1" firstDataCol="1"/>
  <pivotFields count="11">
    <pivotField dataField="1" showAll="0"/>
    <pivotField showAll="0"/>
    <pivotField showAll="0">
      <items count="11">
        <item x="2"/>
        <item x="1"/>
        <item x="5"/>
        <item x="4"/>
        <item x="6"/>
        <item x="0"/>
        <item x="3"/>
        <item x="9"/>
        <item x="7"/>
        <item x="8"/>
        <item t="default"/>
      </items>
    </pivotField>
    <pivotField showAll="0"/>
    <pivotField numFmtId="165" showAll="0">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72" showAll="0"/>
    <pivotField axis="axisRow" showAll="0">
      <items count="3">
        <item x="0"/>
        <item x="1"/>
        <item t="default"/>
      </items>
    </pivotField>
    <pivotField numFmtId="171" showAll="0"/>
    <pivotField showAll="0">
      <items count="5">
        <item x="0"/>
        <item x="3"/>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3">
    <i>
      <x/>
    </i>
    <i>
      <x v="1"/>
    </i>
    <i t="grand">
      <x/>
    </i>
  </rowItems>
  <colItems count="1">
    <i/>
  </colItems>
  <dataFields count="1">
    <dataField name="Employee Count" fld="0" subtotal="count" baseField="6"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CA2BB-DECE-4A85-A5D9-79379764F4C8}"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alary Range">
  <location ref="U1:V6" firstHeaderRow="1" firstDataRow="1" firstDataCol="1"/>
  <pivotFields count="11">
    <pivotField dataField="1" showAll="0"/>
    <pivotField showAll="0"/>
    <pivotField showAll="0">
      <items count="11">
        <item x="2"/>
        <item x="1"/>
        <item x="5"/>
        <item x="4"/>
        <item x="6"/>
        <item x="0"/>
        <item x="3"/>
        <item x="9"/>
        <item x="7"/>
        <item x="8"/>
        <item t="default"/>
      </items>
    </pivotField>
    <pivotField showAll="0"/>
    <pivotField numFmtId="165" showAll="0">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72" showAll="0"/>
    <pivotField showAll="0">
      <items count="3">
        <item x="0"/>
        <item x="1"/>
        <item t="default"/>
      </items>
    </pivotField>
    <pivotField numFmtId="171" showAll="0"/>
    <pivotField axis="axisRow" showAll="0">
      <items count="5">
        <item x="0"/>
        <item x="3"/>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Employee Count" fld="0" subtotal="count" baseField="8"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8" count="1" selected="0">
            <x v="0"/>
          </reference>
        </references>
      </pivotArea>
    </chartFormat>
    <chartFormat chart="14" format="12">
      <pivotArea type="data" outline="0" fieldPosition="0">
        <references count="2">
          <reference field="4294967294" count="1" selected="0">
            <x v="0"/>
          </reference>
          <reference field="8" count="1" selected="0">
            <x v="1"/>
          </reference>
        </references>
      </pivotArea>
    </chartFormat>
    <chartFormat chart="14" format="13">
      <pivotArea type="data" outline="0" fieldPosition="0">
        <references count="2">
          <reference field="4294967294" count="1" selected="0">
            <x v="0"/>
          </reference>
          <reference field="8" count="1" selected="0">
            <x v="2"/>
          </reference>
        </references>
      </pivotArea>
    </chartFormat>
    <chartFormat chart="1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FD299-4562-421B-A13F-87240736210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ire Date">
  <location ref="O1:P14" firstHeaderRow="1" firstDataRow="1" firstDataCol="1"/>
  <pivotFields count="11">
    <pivotField dataField="1" showAll="0"/>
    <pivotField showAll="0"/>
    <pivotField showAll="0">
      <items count="11">
        <item x="2"/>
        <item x="1"/>
        <item x="5"/>
        <item x="4"/>
        <item x="6"/>
        <item x="0"/>
        <item x="3"/>
        <item x="9"/>
        <item x="7"/>
        <item x="8"/>
        <item t="default"/>
      </items>
    </pivotField>
    <pivotField showAll="0"/>
    <pivotField axis="axisRow" numFmtId="165" showAll="0">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72" showAll="0"/>
    <pivotField showAll="0">
      <items count="3">
        <item x="0"/>
        <item x="1"/>
        <item t="default"/>
      </items>
    </pivotField>
    <pivotField numFmtId="171" showAll="0"/>
    <pivotField showAll="0">
      <items count="5">
        <item x="0"/>
        <item x="3"/>
        <item x="2"/>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4"/>
  </rowFields>
  <rowItems count="13">
    <i>
      <x v="1"/>
    </i>
    <i>
      <x v="2"/>
    </i>
    <i>
      <x v="3"/>
    </i>
    <i>
      <x v="4"/>
    </i>
    <i>
      <x v="5"/>
    </i>
    <i>
      <x v="6"/>
    </i>
    <i>
      <x v="7"/>
    </i>
    <i>
      <x v="8"/>
    </i>
    <i>
      <x v="9"/>
    </i>
    <i>
      <x v="10"/>
    </i>
    <i>
      <x v="11"/>
    </i>
    <i>
      <x v="12"/>
    </i>
    <i t="grand">
      <x/>
    </i>
  </rowItems>
  <colItems count="1">
    <i/>
  </colItems>
  <dataFields count="1">
    <dataField name="Employee Count" fld="0" subtotal="count" baseField="10" baseItem="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65ED5-BED2-43E2-A99E-2521EE4C91D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signation">
  <location ref="I1:J42" firstHeaderRow="1" firstDataRow="1" firstDataCol="1"/>
  <pivotFields count="11">
    <pivotField showAll="0"/>
    <pivotField showAll="0"/>
    <pivotField showAll="0">
      <items count="11">
        <item x="2"/>
        <item x="1"/>
        <item x="5"/>
        <item x="4"/>
        <item x="6"/>
        <item x="0"/>
        <item x="3"/>
        <item x="9"/>
        <item x="7"/>
        <item x="8"/>
        <item t="default"/>
      </items>
    </pivotField>
    <pivotField axis="axisRow" showAll="0" sortType="ascending">
      <items count="41">
        <item x="7"/>
        <item x="32"/>
        <item x="36"/>
        <item x="4"/>
        <item x="2"/>
        <item x="8"/>
        <item x="20"/>
        <item x="13"/>
        <item x="19"/>
        <item x="27"/>
        <item x="16"/>
        <item x="11"/>
        <item x="1"/>
        <item x="10"/>
        <item x="31"/>
        <item x="29"/>
        <item x="24"/>
        <item x="15"/>
        <item x="0"/>
        <item x="5"/>
        <item x="21"/>
        <item x="6"/>
        <item x="9"/>
        <item x="18"/>
        <item x="38"/>
        <item x="35"/>
        <item x="39"/>
        <item x="17"/>
        <item x="30"/>
        <item x="22"/>
        <item x="25"/>
        <item x="23"/>
        <item x="28"/>
        <item x="34"/>
        <item x="33"/>
        <item x="3"/>
        <item x="14"/>
        <item x="12"/>
        <item x="37"/>
        <item x="26"/>
        <item t="default"/>
      </items>
      <autoSortScope>
        <pivotArea dataOnly="0" outline="0" fieldPosition="0">
          <references count="1">
            <reference field="4294967294" count="1" selected="0">
              <x v="0"/>
            </reference>
          </references>
        </pivotArea>
      </autoSortScope>
    </pivotField>
    <pivotField numFmtId="165" showAll="0">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72" showAll="0"/>
    <pivotField showAll="0">
      <items count="3">
        <item x="0"/>
        <item x="1"/>
        <item t="default"/>
      </items>
    </pivotField>
    <pivotField dataField="1" numFmtId="171" showAll="0"/>
    <pivotField showAll="0">
      <items count="5">
        <item x="0"/>
        <item x="3"/>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1">
    <i>
      <x v="21"/>
    </i>
    <i>
      <x v="1"/>
    </i>
    <i>
      <x v="6"/>
    </i>
    <i>
      <x v="18"/>
    </i>
    <i>
      <x v="27"/>
    </i>
    <i>
      <x v="25"/>
    </i>
    <i>
      <x v="14"/>
    </i>
    <i>
      <x v="3"/>
    </i>
    <i>
      <x v="19"/>
    </i>
    <i>
      <x v="13"/>
    </i>
    <i>
      <x v="15"/>
    </i>
    <i>
      <x v="12"/>
    </i>
    <i>
      <x v="33"/>
    </i>
    <i>
      <x v="30"/>
    </i>
    <i>
      <x v="7"/>
    </i>
    <i>
      <x v="17"/>
    </i>
    <i>
      <x v="34"/>
    </i>
    <i>
      <x v="8"/>
    </i>
    <i>
      <x v="31"/>
    </i>
    <i>
      <x v="23"/>
    </i>
    <i>
      <x/>
    </i>
    <i>
      <x v="39"/>
    </i>
    <i>
      <x v="5"/>
    </i>
    <i>
      <x v="24"/>
    </i>
    <i>
      <x v="28"/>
    </i>
    <i>
      <x v="9"/>
    </i>
    <i>
      <x v="11"/>
    </i>
    <i>
      <x v="35"/>
    </i>
    <i>
      <x v="37"/>
    </i>
    <i>
      <x v="38"/>
    </i>
    <i>
      <x v="20"/>
    </i>
    <i>
      <x v="16"/>
    </i>
    <i>
      <x v="2"/>
    </i>
    <i>
      <x v="29"/>
    </i>
    <i>
      <x v="4"/>
    </i>
    <i>
      <x v="36"/>
    </i>
    <i>
      <x v="22"/>
    </i>
    <i>
      <x v="32"/>
    </i>
    <i>
      <x v="26"/>
    </i>
    <i>
      <x v="10"/>
    </i>
    <i t="grand">
      <x/>
    </i>
  </rowItems>
  <colItems count="1">
    <i/>
  </colItems>
  <dataFields count="1">
    <dataField name="Ave. Annual Salary" fld="7" subtotal="average" baseField="3" baseItem="0" numFmtId="171"/>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2"/>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D44DAC-86BD-4D9D-953D-4BED6CCC348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A1:C12" firstHeaderRow="0" firstDataRow="1" firstDataCol="1"/>
  <pivotFields count="11">
    <pivotField showAll="0"/>
    <pivotField showAll="0"/>
    <pivotField axis="axisRow" showAll="0">
      <items count="11">
        <item x="2"/>
        <item x="1"/>
        <item x="5"/>
        <item x="4"/>
        <item x="6"/>
        <item x="0"/>
        <item x="3"/>
        <item x="9"/>
        <item x="7"/>
        <item x="8"/>
        <item t="default"/>
      </items>
    </pivotField>
    <pivotField showAll="0"/>
    <pivotField numFmtId="165" showAll="0">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72" showAll="0"/>
    <pivotField showAll="0">
      <items count="3">
        <item x="0"/>
        <item x="1"/>
        <item t="default"/>
      </items>
    </pivotField>
    <pivotField dataField="1" numFmtId="171" showAll="0"/>
    <pivotField showAll="0">
      <items count="5">
        <item x="0"/>
        <item x="3"/>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Annual Salary" fld="7" baseField="2" baseItem="0" numFmtId="171"/>
    <dataField name="Ave. Annual Salary" fld="7" subtotal="average" baseField="2" baseItem="0" numFmtId="17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AC8322-82C9-4478-BF69-2334C835DBB5}" sourceName="Department">
  <pivotTables>
    <pivotTable tabId="4" name="PivotTable2"/>
    <pivotTable tabId="4" name="PivotTable3"/>
    <pivotTable tabId="4" name="PivotTable4"/>
    <pivotTable tabId="4" name="PivotTable5"/>
    <pivotTable tabId="4" name="PivotTable6"/>
  </pivotTables>
  <data>
    <tabular pivotCacheId="321087530">
      <items count="10">
        <i x="2" s="1"/>
        <i x="1" s="1"/>
        <i x="5" s="1"/>
        <i x="4" s="1"/>
        <i x="6" s="1"/>
        <i x="0" s="1"/>
        <i x="3" s="1"/>
        <i x="9"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2" xr10:uid="{2844F0C0-C73A-4651-9795-1FDFDF8D3853}" sourceName="Tenure2">
  <pivotTables>
    <pivotTable tabId="4" name="PivotTable2"/>
    <pivotTable tabId="4" name="PivotTable3"/>
    <pivotTable tabId="4" name="PivotTable4"/>
    <pivotTable tabId="4" name="PivotTable5"/>
    <pivotTable tabId="4" name="PivotTable6"/>
  </pivotTables>
  <data>
    <tabular pivotCacheId="3210875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66DE5536-D927-447D-9BE4-97E44F45A085}" sourceName="Salary Range">
  <pivotTables>
    <pivotTable tabId="4" name="PivotTable2"/>
    <pivotTable tabId="4" name="PivotTable3"/>
    <pivotTable tabId="4" name="PivotTable4"/>
    <pivotTable tabId="4" name="PivotTable6"/>
  </pivotTables>
  <data>
    <tabular pivotCacheId="321087530">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9A7259-2CC8-447F-9F04-A9DD05992D35}" cache="Slicer_Department" caption="Department" rowHeight="257175"/>
  <slicer name="Tenure2" xr10:uid="{58B5FD4D-F503-4F08-A144-3CA764AC97B0}" cache="Slicer_Tenure2" caption="Tenure2" rowHeight="257175"/>
  <slicer name="Salary Range" xr10:uid="{12128CC3-B106-47E9-B48D-9E29F8F9A22D}" cache="Slicer_Salary_Range" caption="Salary Rang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4500-009E-45AC-B4C6-91424CC303B9}">
  <dimension ref="B2:G46"/>
  <sheetViews>
    <sheetView showGridLines="0" workbookViewId="0">
      <selection activeCell="I21" sqref="I21"/>
    </sheetView>
  </sheetViews>
  <sheetFormatPr defaultColWidth="8.85546875" defaultRowHeight="15" x14ac:dyDescent="0.25"/>
  <cols>
    <col min="1" max="1" width="3.85546875" style="2" customWidth="1"/>
    <col min="2" max="2" width="13.28515625" style="2" bestFit="1" customWidth="1"/>
    <col min="3" max="3" width="19.140625" style="2" customWidth="1"/>
    <col min="4" max="4" width="25.85546875" style="2" bestFit="1" customWidth="1"/>
    <col min="5" max="5" width="31" style="2" customWidth="1"/>
    <col min="6" max="6" width="11.140625" style="2" customWidth="1"/>
    <col min="7" max="7" width="20.85546875" style="2" bestFit="1" customWidth="1"/>
    <col min="8" max="16384" width="8.85546875" style="2"/>
  </cols>
  <sheetData>
    <row r="2" spans="2:7" ht="19.5" thickBot="1" x14ac:dyDescent="0.3">
      <c r="B2" s="1" t="s">
        <v>0</v>
      </c>
      <c r="C2" s="1"/>
      <c r="D2" s="1"/>
      <c r="E2" s="1"/>
      <c r="F2" s="1"/>
      <c r="G2" s="1"/>
    </row>
    <row r="4" spans="2:7" ht="19.5" thickBot="1" x14ac:dyDescent="0.3">
      <c r="B4" s="3" t="s">
        <v>1</v>
      </c>
      <c r="C4" s="1"/>
      <c r="D4" s="1"/>
      <c r="E4" s="1"/>
      <c r="F4" s="1"/>
      <c r="G4" s="1"/>
    </row>
    <row r="6" spans="2:7" ht="15.75" x14ac:dyDescent="0.25">
      <c r="B6" s="4" t="s">
        <v>2</v>
      </c>
      <c r="C6" s="4" t="s">
        <v>3</v>
      </c>
      <c r="D6" s="4" t="s">
        <v>4</v>
      </c>
      <c r="E6" s="4" t="s">
        <v>5</v>
      </c>
      <c r="F6" s="4" t="s">
        <v>6</v>
      </c>
      <c r="G6" s="4" t="s">
        <v>7</v>
      </c>
    </row>
    <row r="7" spans="2:7" x14ac:dyDescent="0.25">
      <c r="B7" s="5" t="s">
        <v>8</v>
      </c>
      <c r="C7" s="5" t="s">
        <v>9</v>
      </c>
      <c r="D7" s="5" t="s">
        <v>10</v>
      </c>
      <c r="E7" s="5" t="s">
        <v>11</v>
      </c>
      <c r="F7" s="6">
        <v>45061</v>
      </c>
      <c r="G7" s="5">
        <v>60000</v>
      </c>
    </row>
    <row r="8" spans="2:7" x14ac:dyDescent="0.25">
      <c r="B8" s="5" t="s">
        <v>12</v>
      </c>
      <c r="C8" s="5" t="s">
        <v>13</v>
      </c>
      <c r="D8" s="5" t="s">
        <v>14</v>
      </c>
      <c r="E8" s="5" t="s">
        <v>15</v>
      </c>
      <c r="F8" s="6">
        <v>45158</v>
      </c>
      <c r="G8" s="5">
        <v>50000</v>
      </c>
    </row>
    <row r="9" spans="2:7" x14ac:dyDescent="0.25">
      <c r="B9" s="5" t="s">
        <v>16</v>
      </c>
      <c r="C9" s="5" t="s">
        <v>17</v>
      </c>
      <c r="D9" s="5" t="s">
        <v>18</v>
      </c>
      <c r="E9" s="5" t="s">
        <v>19</v>
      </c>
      <c r="F9" s="6">
        <v>45209</v>
      </c>
      <c r="G9" s="5">
        <v>55000</v>
      </c>
    </row>
    <row r="10" spans="2:7" x14ac:dyDescent="0.25">
      <c r="B10" s="5" t="s">
        <v>20</v>
      </c>
      <c r="C10" s="5" t="s">
        <v>21</v>
      </c>
      <c r="D10" s="5" t="s">
        <v>22</v>
      </c>
      <c r="E10" s="5" t="s">
        <v>23</v>
      </c>
      <c r="F10" s="6">
        <v>45010</v>
      </c>
      <c r="G10" s="5">
        <v>48000</v>
      </c>
    </row>
    <row r="11" spans="2:7" x14ac:dyDescent="0.25">
      <c r="B11" s="5" t="s">
        <v>24</v>
      </c>
      <c r="C11" s="5" t="s">
        <v>25</v>
      </c>
      <c r="D11" s="5" t="s">
        <v>26</v>
      </c>
      <c r="E11" s="5" t="s">
        <v>27</v>
      </c>
      <c r="F11" s="6">
        <v>45181</v>
      </c>
      <c r="G11" s="5">
        <v>60000</v>
      </c>
    </row>
    <row r="12" spans="2:7" x14ac:dyDescent="0.25">
      <c r="B12" s="5" t="s">
        <v>28</v>
      </c>
      <c r="C12" s="5" t="s">
        <v>29</v>
      </c>
      <c r="D12" s="5" t="s">
        <v>30</v>
      </c>
      <c r="E12" s="5" t="s">
        <v>31</v>
      </c>
      <c r="F12" s="6">
        <v>45107</v>
      </c>
      <c r="G12" s="5">
        <v>65000</v>
      </c>
    </row>
    <row r="13" spans="2:7" x14ac:dyDescent="0.25">
      <c r="B13" s="5" t="s">
        <v>32</v>
      </c>
      <c r="C13" s="5" t="s">
        <v>33</v>
      </c>
      <c r="D13" s="5" t="s">
        <v>34</v>
      </c>
      <c r="E13" s="5" t="s">
        <v>35</v>
      </c>
      <c r="F13" s="6">
        <v>45235</v>
      </c>
      <c r="G13" s="5">
        <v>45000</v>
      </c>
    </row>
    <row r="14" spans="2:7" x14ac:dyDescent="0.25">
      <c r="B14" s="5" t="s">
        <v>36</v>
      </c>
      <c r="C14" s="5" t="s">
        <v>37</v>
      </c>
      <c r="D14" s="5" t="s">
        <v>38</v>
      </c>
      <c r="E14" s="5" t="s">
        <v>39</v>
      </c>
      <c r="F14" s="6">
        <v>45034</v>
      </c>
      <c r="G14" s="5">
        <v>58000</v>
      </c>
    </row>
    <row r="15" spans="2:7" x14ac:dyDescent="0.25">
      <c r="B15" s="5" t="s">
        <v>40</v>
      </c>
      <c r="C15" s="5" t="s">
        <v>41</v>
      </c>
      <c r="D15" s="5" t="s">
        <v>42</v>
      </c>
      <c r="E15" s="5" t="s">
        <v>43</v>
      </c>
      <c r="F15" s="6">
        <v>45129</v>
      </c>
      <c r="G15" s="5">
        <v>52000</v>
      </c>
    </row>
    <row r="16" spans="2:7" x14ac:dyDescent="0.25">
      <c r="B16" s="5" t="s">
        <v>44</v>
      </c>
      <c r="C16" s="5" t="s">
        <v>45</v>
      </c>
      <c r="D16" s="5" t="s">
        <v>46</v>
      </c>
      <c r="E16" s="5" t="s">
        <v>47</v>
      </c>
      <c r="F16" s="6">
        <v>44971</v>
      </c>
      <c r="G16" s="5">
        <v>56000</v>
      </c>
    </row>
    <row r="17" spans="2:7" x14ac:dyDescent="0.25">
      <c r="B17" s="5" t="s">
        <v>48</v>
      </c>
      <c r="C17" s="5" t="s">
        <v>49</v>
      </c>
      <c r="D17" s="5" t="s">
        <v>10</v>
      </c>
      <c r="E17" s="5" t="s">
        <v>50</v>
      </c>
      <c r="F17" s="6">
        <v>45170</v>
      </c>
      <c r="G17" s="5">
        <v>48000</v>
      </c>
    </row>
    <row r="18" spans="2:7" x14ac:dyDescent="0.25">
      <c r="B18" s="5" t="s">
        <v>51</v>
      </c>
      <c r="C18" s="5" t="s">
        <v>52</v>
      </c>
      <c r="D18" s="5" t="s">
        <v>14</v>
      </c>
      <c r="E18" s="5" t="s">
        <v>53</v>
      </c>
      <c r="F18" s="6">
        <v>45087</v>
      </c>
      <c r="G18" s="5">
        <v>65000</v>
      </c>
    </row>
    <row r="19" spans="2:7" x14ac:dyDescent="0.25">
      <c r="B19" s="5" t="s">
        <v>54</v>
      </c>
      <c r="C19" s="5" t="s">
        <v>55</v>
      </c>
      <c r="D19" s="5" t="s">
        <v>18</v>
      </c>
      <c r="E19" s="5" t="s">
        <v>56</v>
      </c>
      <c r="F19" s="6">
        <v>45248</v>
      </c>
      <c r="G19" s="5">
        <v>70000</v>
      </c>
    </row>
    <row r="20" spans="2:7" x14ac:dyDescent="0.25">
      <c r="B20" s="5" t="s">
        <v>57</v>
      </c>
      <c r="C20" s="5" t="s">
        <v>58</v>
      </c>
      <c r="D20" s="5" t="s">
        <v>22</v>
      </c>
      <c r="E20" s="5" t="s">
        <v>59</v>
      </c>
      <c r="F20" s="6">
        <v>45049</v>
      </c>
      <c r="G20" s="5">
        <v>72000</v>
      </c>
    </row>
    <row r="21" spans="2:7" x14ac:dyDescent="0.25">
      <c r="B21" s="5" t="s">
        <v>60</v>
      </c>
      <c r="C21" s="5" t="s">
        <v>61</v>
      </c>
      <c r="D21" s="5" t="s">
        <v>26</v>
      </c>
      <c r="E21" s="5" t="s">
        <v>62</v>
      </c>
      <c r="F21" s="6">
        <v>45146</v>
      </c>
      <c r="G21" s="5">
        <v>75000</v>
      </c>
    </row>
    <row r="22" spans="2:7" x14ac:dyDescent="0.25">
      <c r="B22" s="5" t="s">
        <v>63</v>
      </c>
      <c r="C22" s="5" t="s">
        <v>64</v>
      </c>
      <c r="D22" s="5" t="s">
        <v>30</v>
      </c>
      <c r="E22" s="5" t="s">
        <v>65</v>
      </c>
      <c r="F22" s="6">
        <v>45228</v>
      </c>
      <c r="G22" s="5">
        <v>48000</v>
      </c>
    </row>
    <row r="23" spans="2:7" x14ac:dyDescent="0.25">
      <c r="B23" s="5" t="s">
        <v>66</v>
      </c>
      <c r="C23" s="5" t="s">
        <v>67</v>
      </c>
      <c r="D23" s="5" t="s">
        <v>34</v>
      </c>
      <c r="E23" s="5" t="s">
        <v>68</v>
      </c>
      <c r="F23" s="6">
        <v>44997</v>
      </c>
      <c r="G23" s="5">
        <v>68000</v>
      </c>
    </row>
    <row r="24" spans="2:7" x14ac:dyDescent="0.25">
      <c r="B24" s="5" t="s">
        <v>69</v>
      </c>
      <c r="C24" s="5" t="s">
        <v>70</v>
      </c>
      <c r="D24" s="5" t="s">
        <v>38</v>
      </c>
      <c r="E24" s="5" t="s">
        <v>71</v>
      </c>
      <c r="F24" s="6">
        <v>45102</v>
      </c>
      <c r="G24" s="5">
        <v>70000</v>
      </c>
    </row>
    <row r="25" spans="2:7" x14ac:dyDescent="0.25">
      <c r="B25" s="5" t="s">
        <v>72</v>
      </c>
      <c r="C25" s="5" t="s">
        <v>73</v>
      </c>
      <c r="D25" s="5" t="s">
        <v>42</v>
      </c>
      <c r="E25" s="5" t="s">
        <v>74</v>
      </c>
      <c r="F25" s="6">
        <v>45199</v>
      </c>
      <c r="G25" s="5">
        <v>72000</v>
      </c>
    </row>
    <row r="26" spans="2:7" x14ac:dyDescent="0.25">
      <c r="B26" s="5" t="s">
        <v>75</v>
      </c>
      <c r="C26" s="5" t="s">
        <v>76</v>
      </c>
      <c r="D26" s="5" t="s">
        <v>46</v>
      </c>
      <c r="E26" s="5" t="s">
        <v>77</v>
      </c>
      <c r="F26" s="6">
        <v>44943</v>
      </c>
      <c r="G26" s="5">
        <v>75000</v>
      </c>
    </row>
    <row r="27" spans="2:7" x14ac:dyDescent="0.25">
      <c r="B27" s="5" t="s">
        <v>78</v>
      </c>
      <c r="C27" s="5" t="s">
        <v>79</v>
      </c>
      <c r="D27" s="5" t="s">
        <v>10</v>
      </c>
      <c r="E27" s="5" t="s">
        <v>80</v>
      </c>
      <c r="F27" s="6">
        <v>45112</v>
      </c>
      <c r="G27" s="5">
        <v>42000</v>
      </c>
    </row>
    <row r="28" spans="2:7" x14ac:dyDescent="0.25">
      <c r="B28" s="5" t="s">
        <v>81</v>
      </c>
      <c r="C28" s="5" t="s">
        <v>82</v>
      </c>
      <c r="D28" s="5" t="s">
        <v>14</v>
      </c>
      <c r="E28" s="5" t="s">
        <v>83</v>
      </c>
      <c r="F28" s="6">
        <v>45044</v>
      </c>
      <c r="G28" s="5">
        <v>48000</v>
      </c>
    </row>
    <row r="29" spans="2:7" x14ac:dyDescent="0.25">
      <c r="B29" s="5" t="s">
        <v>84</v>
      </c>
      <c r="C29" s="5" t="s">
        <v>85</v>
      </c>
      <c r="D29" s="5" t="s">
        <v>18</v>
      </c>
      <c r="E29" s="5" t="s">
        <v>86</v>
      </c>
      <c r="F29" s="6">
        <v>45242</v>
      </c>
      <c r="G29" s="5">
        <v>60000</v>
      </c>
    </row>
    <row r="30" spans="2:7" x14ac:dyDescent="0.25">
      <c r="B30" s="5" t="s">
        <v>87</v>
      </c>
      <c r="C30" s="5" t="s">
        <v>88</v>
      </c>
      <c r="D30" s="5" t="s">
        <v>22</v>
      </c>
      <c r="E30" s="5" t="s">
        <v>89</v>
      </c>
      <c r="F30" s="6">
        <v>45071</v>
      </c>
      <c r="G30" s="5">
        <v>55000</v>
      </c>
    </row>
    <row r="31" spans="2:7" x14ac:dyDescent="0.25">
      <c r="B31" s="5" t="s">
        <v>90</v>
      </c>
      <c r="C31" s="5" t="s">
        <v>25</v>
      </c>
      <c r="D31" s="5" t="s">
        <v>26</v>
      </c>
      <c r="E31" s="5" t="s">
        <v>91</v>
      </c>
      <c r="F31" s="6">
        <v>45168</v>
      </c>
      <c r="G31" s="5">
        <v>70000</v>
      </c>
    </row>
    <row r="32" spans="2:7" x14ac:dyDescent="0.25">
      <c r="B32" s="5" t="s">
        <v>92</v>
      </c>
      <c r="C32" s="5" t="s">
        <v>93</v>
      </c>
      <c r="D32" s="5" t="s">
        <v>30</v>
      </c>
      <c r="E32" s="5" t="s">
        <v>94</v>
      </c>
      <c r="F32" s="6">
        <v>45214</v>
      </c>
      <c r="G32" s="5">
        <v>55000</v>
      </c>
    </row>
    <row r="33" spans="2:7" x14ac:dyDescent="0.25">
      <c r="B33" s="5" t="s">
        <v>95</v>
      </c>
      <c r="C33" s="5" t="s">
        <v>96</v>
      </c>
      <c r="D33" s="5" t="s">
        <v>34</v>
      </c>
      <c r="E33" s="5" t="s">
        <v>97</v>
      </c>
      <c r="F33" s="6">
        <v>45013</v>
      </c>
      <c r="G33" s="5">
        <v>50000</v>
      </c>
    </row>
    <row r="34" spans="2:7" x14ac:dyDescent="0.25">
      <c r="B34" s="5" t="s">
        <v>98</v>
      </c>
      <c r="C34" s="5" t="s">
        <v>99</v>
      </c>
      <c r="D34" s="5" t="s">
        <v>38</v>
      </c>
      <c r="E34" s="5" t="s">
        <v>100</v>
      </c>
      <c r="F34" s="6">
        <v>45078</v>
      </c>
      <c r="G34" s="5">
        <v>48000</v>
      </c>
    </row>
    <row r="35" spans="2:7" x14ac:dyDescent="0.25">
      <c r="B35" s="5" t="s">
        <v>101</v>
      </c>
      <c r="C35" s="5" t="s">
        <v>102</v>
      </c>
      <c r="D35" s="5" t="s">
        <v>42</v>
      </c>
      <c r="E35" s="5" t="s">
        <v>103</v>
      </c>
      <c r="F35" s="6">
        <v>45177</v>
      </c>
      <c r="G35" s="5">
        <v>60000</v>
      </c>
    </row>
    <row r="36" spans="2:7" x14ac:dyDescent="0.25">
      <c r="B36" s="5" t="s">
        <v>104</v>
      </c>
      <c r="C36" s="5" t="s">
        <v>105</v>
      </c>
      <c r="D36" s="5" t="s">
        <v>46</v>
      </c>
      <c r="E36" s="5" t="s">
        <v>106</v>
      </c>
      <c r="F36" s="6">
        <v>44979</v>
      </c>
      <c r="G36" s="5">
        <v>62000</v>
      </c>
    </row>
    <row r="37" spans="2:7" x14ac:dyDescent="0.25">
      <c r="B37" s="5" t="s">
        <v>107</v>
      </c>
      <c r="C37" s="5" t="s">
        <v>108</v>
      </c>
      <c r="D37" s="5" t="s">
        <v>10</v>
      </c>
      <c r="E37" s="5" t="s">
        <v>109</v>
      </c>
      <c r="F37" s="6">
        <v>45124</v>
      </c>
      <c r="G37" s="5">
        <v>50000</v>
      </c>
    </row>
    <row r="38" spans="2:7" x14ac:dyDescent="0.25">
      <c r="B38" s="5" t="s">
        <v>110</v>
      </c>
      <c r="C38" s="5" t="s">
        <v>111</v>
      </c>
      <c r="D38" s="5" t="s">
        <v>14</v>
      </c>
      <c r="E38" s="5" t="s">
        <v>112</v>
      </c>
      <c r="F38" s="6">
        <v>45026</v>
      </c>
      <c r="G38" s="5">
        <v>42000</v>
      </c>
    </row>
    <row r="39" spans="2:7" x14ac:dyDescent="0.25">
      <c r="B39" s="5" t="s">
        <v>113</v>
      </c>
      <c r="C39" s="5" t="s">
        <v>114</v>
      </c>
      <c r="D39" s="5" t="s">
        <v>18</v>
      </c>
      <c r="E39" s="5" t="s">
        <v>115</v>
      </c>
      <c r="F39" s="6">
        <v>45256</v>
      </c>
      <c r="G39" s="5">
        <v>48000</v>
      </c>
    </row>
    <row r="40" spans="2:7" x14ac:dyDescent="0.25">
      <c r="B40" s="5" t="s">
        <v>116</v>
      </c>
      <c r="C40" s="5" t="s">
        <v>117</v>
      </c>
      <c r="D40" s="5" t="s">
        <v>22</v>
      </c>
      <c r="E40" s="5" t="s">
        <v>118</v>
      </c>
      <c r="F40" s="6">
        <v>45094</v>
      </c>
      <c r="G40" s="5">
        <v>50000</v>
      </c>
    </row>
    <row r="41" spans="2:7" x14ac:dyDescent="0.25">
      <c r="B41" s="5" t="s">
        <v>119</v>
      </c>
      <c r="C41" s="5" t="s">
        <v>120</v>
      </c>
      <c r="D41" s="5" t="s">
        <v>26</v>
      </c>
      <c r="E41" s="5" t="s">
        <v>121</v>
      </c>
      <c r="F41" s="6">
        <v>45189</v>
      </c>
      <c r="G41" s="5">
        <v>48000</v>
      </c>
    </row>
    <row r="42" spans="2:7" x14ac:dyDescent="0.25">
      <c r="B42" s="5" t="s">
        <v>122</v>
      </c>
      <c r="C42" s="5" t="s">
        <v>123</v>
      </c>
      <c r="D42" s="5" t="s">
        <v>30</v>
      </c>
      <c r="E42" s="5" t="s">
        <v>124</v>
      </c>
      <c r="F42" s="6">
        <v>45263</v>
      </c>
      <c r="G42" s="5">
        <v>42000</v>
      </c>
    </row>
    <row r="43" spans="2:7" x14ac:dyDescent="0.25">
      <c r="B43" s="5" t="s">
        <v>125</v>
      </c>
      <c r="C43" s="5" t="s">
        <v>126</v>
      </c>
      <c r="D43" s="5" t="s">
        <v>34</v>
      </c>
      <c r="E43" s="5" t="s">
        <v>127</v>
      </c>
      <c r="F43" s="6">
        <v>45022</v>
      </c>
      <c r="G43" s="5">
        <v>40000</v>
      </c>
    </row>
    <row r="44" spans="2:7" x14ac:dyDescent="0.25">
      <c r="B44" s="5" t="s">
        <v>128</v>
      </c>
      <c r="C44" s="5" t="s">
        <v>129</v>
      </c>
      <c r="D44" s="5" t="s">
        <v>38</v>
      </c>
      <c r="E44" s="5" t="s">
        <v>130</v>
      </c>
      <c r="F44" s="6">
        <v>45137</v>
      </c>
      <c r="G44" s="5">
        <v>42000</v>
      </c>
    </row>
    <row r="45" spans="2:7" x14ac:dyDescent="0.25">
      <c r="B45" s="5" t="s">
        <v>131</v>
      </c>
      <c r="C45" s="5" t="s">
        <v>17</v>
      </c>
      <c r="D45" s="5" t="s">
        <v>42</v>
      </c>
      <c r="E45" s="5" t="s">
        <v>132</v>
      </c>
      <c r="F45" s="6">
        <v>45224</v>
      </c>
      <c r="G45" s="5">
        <v>40000</v>
      </c>
    </row>
    <row r="46" spans="2:7" x14ac:dyDescent="0.25">
      <c r="B46" s="5" t="s">
        <v>133</v>
      </c>
      <c r="C46" s="5" t="s">
        <v>88</v>
      </c>
      <c r="D46" s="5" t="s">
        <v>46</v>
      </c>
      <c r="E46" s="5" t="s">
        <v>134</v>
      </c>
      <c r="F46" s="6">
        <v>45005</v>
      </c>
      <c r="G46" s="5">
        <v>42000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4A82-7DD1-45F0-9D7F-40EA5EF087D2}">
  <dimension ref="A1:I41"/>
  <sheetViews>
    <sheetView topLeftCell="A7" workbookViewId="0">
      <selection activeCell="C42" sqref="C42"/>
    </sheetView>
  </sheetViews>
  <sheetFormatPr defaultColWidth="36.5703125" defaultRowHeight="15" x14ac:dyDescent="0.25"/>
  <cols>
    <col min="1" max="1" width="14.5703125" style="9" customWidth="1"/>
    <col min="2" max="4" width="36.5703125" style="9"/>
    <col min="5" max="5" width="19.42578125" style="12" customWidth="1"/>
    <col min="6" max="6" width="19.42578125" style="12" hidden="1" customWidth="1"/>
    <col min="7" max="7" width="19.42578125" style="9" customWidth="1"/>
    <col min="8" max="8" width="20.28515625" style="15" customWidth="1"/>
    <col min="9" max="9" width="20.28515625" style="19" customWidth="1"/>
  </cols>
  <sheetData>
    <row r="1" spans="1:9" ht="15.75" x14ac:dyDescent="0.25">
      <c r="A1" s="7" t="s">
        <v>2</v>
      </c>
      <c r="B1" s="7" t="s">
        <v>3</v>
      </c>
      <c r="C1" s="7" t="s">
        <v>4</v>
      </c>
      <c r="D1" s="7" t="s">
        <v>5</v>
      </c>
      <c r="E1" s="10" t="s">
        <v>6</v>
      </c>
      <c r="F1" s="10" t="s">
        <v>136</v>
      </c>
      <c r="G1" s="7" t="s">
        <v>136</v>
      </c>
      <c r="H1" s="13" t="s">
        <v>135</v>
      </c>
      <c r="I1" s="17" t="s">
        <v>137</v>
      </c>
    </row>
    <row r="2" spans="1:9" x14ac:dyDescent="0.25">
      <c r="A2" s="8" t="s">
        <v>122</v>
      </c>
      <c r="B2" s="8" t="s">
        <v>123</v>
      </c>
      <c r="C2" s="8" t="s">
        <v>30</v>
      </c>
      <c r="D2" s="8" t="s">
        <v>124</v>
      </c>
      <c r="E2" s="11">
        <v>45263</v>
      </c>
      <c r="F2" s="16">
        <f ca="1">YEARFRAC(E2, TODAY())</f>
        <v>2.338888888888889</v>
      </c>
      <c r="G2" s="8" t="str" cm="1">
        <f t="array" aca="1" ref="G2" ca="1">_xlfn.IFS(F2&lt;=2.9, "2 Years", F2&lt;=3.9, "3 Years")</f>
        <v>2 Years</v>
      </c>
      <c r="H2" s="14">
        <v>42000</v>
      </c>
      <c r="I2" s="18" t="str" cm="1">
        <f t="array" ref="I2">_xlfn.IFS(H2&lt;50000, "40k-50k", H2&lt;60000, "50k-60k", H2&lt;70000, "60k-70k", H2&lt;80000, "70k-80k")</f>
        <v>40k-50k</v>
      </c>
    </row>
    <row r="3" spans="1:9" x14ac:dyDescent="0.25">
      <c r="A3" s="8" t="s">
        <v>113</v>
      </c>
      <c r="B3" s="8" t="s">
        <v>114</v>
      </c>
      <c r="C3" s="8" t="s">
        <v>18</v>
      </c>
      <c r="D3" s="8" t="s">
        <v>115</v>
      </c>
      <c r="E3" s="11">
        <v>45256</v>
      </c>
      <c r="F3" s="16">
        <f ca="1">YEARFRAC(E3, TODAY())</f>
        <v>2.3583333333333334</v>
      </c>
      <c r="G3" s="8" t="str" cm="1">
        <f t="array" aca="1" ref="G3" ca="1">_xlfn.IFS(F3&lt;=2.9, "2 Years", F3&lt;=3.9, "3 Years")</f>
        <v>2 Years</v>
      </c>
      <c r="H3" s="14">
        <v>48000</v>
      </c>
      <c r="I3" s="18" t="str" cm="1">
        <f t="array" ref="I3">_xlfn.IFS(H3&lt;50000, "40k-50k", H3&lt;60000, "50k-60k", H3&lt;70000, "60k-70k", H3&lt;80000, "70k-80k")</f>
        <v>40k-50k</v>
      </c>
    </row>
    <row r="4" spans="1:9" x14ac:dyDescent="0.25">
      <c r="A4" s="8" t="s">
        <v>54</v>
      </c>
      <c r="B4" s="8" t="s">
        <v>55</v>
      </c>
      <c r="C4" s="8" t="s">
        <v>18</v>
      </c>
      <c r="D4" s="8" t="s">
        <v>56</v>
      </c>
      <c r="E4" s="11">
        <v>45248</v>
      </c>
      <c r="F4" s="16">
        <f ca="1">YEARFRAC(E4, TODAY())</f>
        <v>2.3805555555555555</v>
      </c>
      <c r="G4" s="8" t="str" cm="1">
        <f t="array" aca="1" ref="G4" ca="1">_xlfn.IFS(F4&lt;=2.9, "2 Years", F4&lt;=3.9, "3 Years")</f>
        <v>2 Years</v>
      </c>
      <c r="H4" s="14">
        <v>70000</v>
      </c>
      <c r="I4" s="18" t="str" cm="1">
        <f t="array" ref="I4">_xlfn.IFS(H4&lt;50000, "40k-50k", H4&lt;60000, "50k-60k", H4&lt;70000, "60k-70k", H4&lt;80000, "70k-80k")</f>
        <v>70k-80k</v>
      </c>
    </row>
    <row r="5" spans="1:9" x14ac:dyDescent="0.25">
      <c r="A5" s="8" t="s">
        <v>84</v>
      </c>
      <c r="B5" s="8" t="s">
        <v>85</v>
      </c>
      <c r="C5" s="8" t="s">
        <v>18</v>
      </c>
      <c r="D5" s="8" t="s">
        <v>86</v>
      </c>
      <c r="E5" s="11">
        <v>45242</v>
      </c>
      <c r="F5" s="16">
        <f ca="1">YEARFRAC(E5, TODAY())</f>
        <v>2.3972222222222221</v>
      </c>
      <c r="G5" s="8" t="str" cm="1">
        <f t="array" aca="1" ref="G5" ca="1">_xlfn.IFS(F5&lt;=2.9, "2 Years", F5&lt;=3.9, "3 Years")</f>
        <v>2 Years</v>
      </c>
      <c r="H5" s="14">
        <v>60000</v>
      </c>
      <c r="I5" s="18" t="str" cm="1">
        <f t="array" ref="I5">_xlfn.IFS(H5&lt;50000, "40k-50k", H5&lt;60000, "50k-60k", H5&lt;70000, "60k-70k", H5&lt;80000, "70k-80k")</f>
        <v>60k-70k</v>
      </c>
    </row>
    <row r="6" spans="1:9" x14ac:dyDescent="0.25">
      <c r="A6" s="8" t="s">
        <v>32</v>
      </c>
      <c r="B6" s="8" t="s">
        <v>33</v>
      </c>
      <c r="C6" s="8" t="s">
        <v>34</v>
      </c>
      <c r="D6" s="8" t="s">
        <v>35</v>
      </c>
      <c r="E6" s="11">
        <v>45235</v>
      </c>
      <c r="F6" s="16">
        <f ca="1">YEARFRAC(E6, TODAY())</f>
        <v>2.4166666666666665</v>
      </c>
      <c r="G6" s="8" t="str" cm="1">
        <f t="array" aca="1" ref="G6" ca="1">_xlfn.IFS(F6&lt;=2.9, "2 Years", F6&lt;=3.9, "3 Years")</f>
        <v>2 Years</v>
      </c>
      <c r="H6" s="14">
        <v>45000</v>
      </c>
      <c r="I6" s="18" t="str" cm="1">
        <f t="array" ref="I6">_xlfn.IFS(H6&lt;50000, "40k-50k", H6&lt;60000, "50k-60k", H6&lt;70000, "60k-70k", H6&lt;80000, "70k-80k")</f>
        <v>40k-50k</v>
      </c>
    </row>
    <row r="7" spans="1:9" x14ac:dyDescent="0.25">
      <c r="A7" s="8" t="s">
        <v>63</v>
      </c>
      <c r="B7" s="8" t="s">
        <v>64</v>
      </c>
      <c r="C7" s="8" t="s">
        <v>30</v>
      </c>
      <c r="D7" s="8" t="s">
        <v>65</v>
      </c>
      <c r="E7" s="11">
        <v>45228</v>
      </c>
      <c r="F7" s="16">
        <f ca="1">YEARFRAC(E7, TODAY())</f>
        <v>2.4333333333333331</v>
      </c>
      <c r="G7" s="8" t="str" cm="1">
        <f t="array" aca="1" ref="G7" ca="1">_xlfn.IFS(F7&lt;=2.9, "2 Years", F7&lt;=3.9, "3 Years")</f>
        <v>2 Years</v>
      </c>
      <c r="H7" s="14">
        <v>48000</v>
      </c>
      <c r="I7" s="18" t="str" cm="1">
        <f t="array" ref="I7">_xlfn.IFS(H7&lt;50000, "40k-50k", H7&lt;60000, "50k-60k", H7&lt;70000, "60k-70k", H7&lt;80000, "70k-80k")</f>
        <v>40k-50k</v>
      </c>
    </row>
    <row r="8" spans="1:9" x14ac:dyDescent="0.25">
      <c r="A8" s="8" t="s">
        <v>131</v>
      </c>
      <c r="B8" s="8" t="s">
        <v>17</v>
      </c>
      <c r="C8" s="8" t="s">
        <v>42</v>
      </c>
      <c r="D8" s="8" t="s">
        <v>132</v>
      </c>
      <c r="E8" s="11">
        <v>45224</v>
      </c>
      <c r="F8" s="16">
        <f ca="1">YEARFRAC(E8, TODAY())</f>
        <v>2.4444444444444446</v>
      </c>
      <c r="G8" s="8" t="str" cm="1">
        <f t="array" aca="1" ref="G8" ca="1">_xlfn.IFS(F8&lt;=2.9, "2 Years", F8&lt;=3.9, "3 Years")</f>
        <v>2 Years</v>
      </c>
      <c r="H8" s="14">
        <v>40000</v>
      </c>
      <c r="I8" s="18" t="str" cm="1">
        <f t="array" ref="I8">_xlfn.IFS(H8&lt;50000, "40k-50k", H8&lt;60000, "50k-60k", H8&lt;70000, "60k-70k", H8&lt;80000, "70k-80k")</f>
        <v>40k-50k</v>
      </c>
    </row>
    <row r="9" spans="1:9" x14ac:dyDescent="0.25">
      <c r="A9" s="8" t="s">
        <v>92</v>
      </c>
      <c r="B9" s="8" t="s">
        <v>93</v>
      </c>
      <c r="C9" s="8" t="s">
        <v>30</v>
      </c>
      <c r="D9" s="8" t="s">
        <v>94</v>
      </c>
      <c r="E9" s="11">
        <v>45214</v>
      </c>
      <c r="F9" s="16">
        <f ca="1">YEARFRAC(E9, TODAY())</f>
        <v>2.4722222222222223</v>
      </c>
      <c r="G9" s="8" t="str" cm="1">
        <f t="array" aca="1" ref="G9" ca="1">_xlfn.IFS(F9&lt;=2.9, "2 Years", F9&lt;=3.9, "3 Years")</f>
        <v>2 Years</v>
      </c>
      <c r="H9" s="14">
        <v>55000</v>
      </c>
      <c r="I9" s="18" t="str" cm="1">
        <f t="array" ref="I9">_xlfn.IFS(H9&lt;50000, "40k-50k", H9&lt;60000, "50k-60k", H9&lt;70000, "60k-70k", H9&lt;80000, "70k-80k")</f>
        <v>50k-60k</v>
      </c>
    </row>
    <row r="10" spans="1:9" x14ac:dyDescent="0.25">
      <c r="A10" s="8" t="s">
        <v>16</v>
      </c>
      <c r="B10" s="8" t="s">
        <v>17</v>
      </c>
      <c r="C10" s="8" t="s">
        <v>18</v>
      </c>
      <c r="D10" s="8" t="s">
        <v>19</v>
      </c>
      <c r="E10" s="11">
        <v>45209</v>
      </c>
      <c r="F10" s="16">
        <f ca="1">YEARFRAC(E10, TODAY())</f>
        <v>2.4861111111111112</v>
      </c>
      <c r="G10" s="8" t="str" cm="1">
        <f t="array" aca="1" ref="G10" ca="1">_xlfn.IFS(F10&lt;=2.9, "2 Years", F10&lt;=3.9, "3 Years")</f>
        <v>2 Years</v>
      </c>
      <c r="H10" s="14">
        <v>55000</v>
      </c>
      <c r="I10" s="18" t="str" cm="1">
        <f t="array" ref="I10">_xlfn.IFS(H10&lt;50000, "40k-50k", H10&lt;60000, "50k-60k", H10&lt;70000, "60k-70k", H10&lt;80000, "70k-80k")</f>
        <v>50k-60k</v>
      </c>
    </row>
    <row r="11" spans="1:9" x14ac:dyDescent="0.25">
      <c r="A11" s="8" t="s">
        <v>72</v>
      </c>
      <c r="B11" s="8" t="s">
        <v>73</v>
      </c>
      <c r="C11" s="8" t="s">
        <v>42</v>
      </c>
      <c r="D11" s="8" t="s">
        <v>74</v>
      </c>
      <c r="E11" s="11">
        <v>45199</v>
      </c>
      <c r="F11" s="16">
        <f ca="1">YEARFRAC(E11, TODAY())</f>
        <v>2.5138888888888888</v>
      </c>
      <c r="G11" s="8" t="str" cm="1">
        <f t="array" aca="1" ref="G11" ca="1">_xlfn.IFS(F11&lt;=2.9, "2 Years", F11&lt;=3.9, "3 Years")</f>
        <v>2 Years</v>
      </c>
      <c r="H11" s="14">
        <v>72000</v>
      </c>
      <c r="I11" s="18" t="str" cm="1">
        <f t="array" ref="I11">_xlfn.IFS(H11&lt;50000, "40k-50k", H11&lt;60000, "50k-60k", H11&lt;70000, "60k-70k", H11&lt;80000, "70k-80k")</f>
        <v>70k-80k</v>
      </c>
    </row>
    <row r="12" spans="1:9" x14ac:dyDescent="0.25">
      <c r="A12" s="8" t="s">
        <v>119</v>
      </c>
      <c r="B12" s="8" t="s">
        <v>120</v>
      </c>
      <c r="C12" s="8" t="s">
        <v>26</v>
      </c>
      <c r="D12" s="8" t="s">
        <v>121</v>
      </c>
      <c r="E12" s="11">
        <v>45189</v>
      </c>
      <c r="F12" s="16">
        <f ca="1">YEARFRAC(E12, TODAY())</f>
        <v>2.5416666666666665</v>
      </c>
      <c r="G12" s="8" t="str" cm="1">
        <f t="array" aca="1" ref="G12" ca="1">_xlfn.IFS(F12&lt;=2.9, "2 Years", F12&lt;=3.9, "3 Years")</f>
        <v>2 Years</v>
      </c>
      <c r="H12" s="14">
        <v>48000</v>
      </c>
      <c r="I12" s="18" t="str" cm="1">
        <f t="array" ref="I12">_xlfn.IFS(H12&lt;50000, "40k-50k", H12&lt;60000, "50k-60k", H12&lt;70000, "60k-70k", H12&lt;80000, "70k-80k")</f>
        <v>40k-50k</v>
      </c>
    </row>
    <row r="13" spans="1:9" x14ac:dyDescent="0.25">
      <c r="A13" s="8" t="s">
        <v>24</v>
      </c>
      <c r="B13" s="8" t="s">
        <v>25</v>
      </c>
      <c r="C13" s="8" t="s">
        <v>26</v>
      </c>
      <c r="D13" s="8" t="s">
        <v>27</v>
      </c>
      <c r="E13" s="11">
        <v>45181</v>
      </c>
      <c r="F13" s="16">
        <f ca="1">YEARFRAC(E13, TODAY())</f>
        <v>2.5638888888888891</v>
      </c>
      <c r="G13" s="8" t="str" cm="1">
        <f t="array" aca="1" ref="G13" ca="1">_xlfn.IFS(F13&lt;=2.9, "2 Years", F13&lt;=3.9, "3 Years")</f>
        <v>2 Years</v>
      </c>
      <c r="H13" s="14">
        <v>60000</v>
      </c>
      <c r="I13" s="18" t="str" cm="1">
        <f t="array" ref="I13">_xlfn.IFS(H13&lt;50000, "40k-50k", H13&lt;60000, "50k-60k", H13&lt;70000, "60k-70k", H13&lt;80000, "70k-80k")</f>
        <v>60k-70k</v>
      </c>
    </row>
    <row r="14" spans="1:9" x14ac:dyDescent="0.25">
      <c r="A14" s="8" t="s">
        <v>101</v>
      </c>
      <c r="B14" s="8" t="s">
        <v>102</v>
      </c>
      <c r="C14" s="8" t="s">
        <v>42</v>
      </c>
      <c r="D14" s="8" t="s">
        <v>103</v>
      </c>
      <c r="E14" s="11">
        <v>45177</v>
      </c>
      <c r="F14" s="16">
        <f ca="1">YEARFRAC(E14, TODAY())</f>
        <v>2.5750000000000002</v>
      </c>
      <c r="G14" s="8" t="str" cm="1">
        <f t="array" aca="1" ref="G14" ca="1">_xlfn.IFS(F14&lt;=2.9, "2 Years", F14&lt;=3.9, "3 Years")</f>
        <v>2 Years</v>
      </c>
      <c r="H14" s="14">
        <v>60000</v>
      </c>
      <c r="I14" s="18" t="str" cm="1">
        <f t="array" ref="I14">_xlfn.IFS(H14&lt;50000, "40k-50k", H14&lt;60000, "50k-60k", H14&lt;70000, "60k-70k", H14&lt;80000, "70k-80k")</f>
        <v>60k-70k</v>
      </c>
    </row>
    <row r="15" spans="1:9" x14ac:dyDescent="0.25">
      <c r="A15" s="8" t="s">
        <v>48</v>
      </c>
      <c r="B15" s="8" t="s">
        <v>49</v>
      </c>
      <c r="C15" s="8" t="s">
        <v>10</v>
      </c>
      <c r="D15" s="8" t="s">
        <v>50</v>
      </c>
      <c r="E15" s="11">
        <v>45170</v>
      </c>
      <c r="F15" s="16">
        <f ca="1">YEARFRAC(E15, TODAY())</f>
        <v>2.5944444444444446</v>
      </c>
      <c r="G15" s="8" t="str" cm="1">
        <f t="array" aca="1" ref="G15" ca="1">_xlfn.IFS(F15&lt;=2.9, "2 Years", F15&lt;=3.9, "3 Years")</f>
        <v>2 Years</v>
      </c>
      <c r="H15" s="14">
        <v>48000</v>
      </c>
      <c r="I15" s="18" t="str" cm="1">
        <f t="array" ref="I15">_xlfn.IFS(H15&lt;50000, "40k-50k", H15&lt;60000, "50k-60k", H15&lt;70000, "60k-70k", H15&lt;80000, "70k-80k")</f>
        <v>40k-50k</v>
      </c>
    </row>
    <row r="16" spans="1:9" x14ac:dyDescent="0.25">
      <c r="A16" s="8" t="s">
        <v>90</v>
      </c>
      <c r="B16" s="8" t="s">
        <v>25</v>
      </c>
      <c r="C16" s="8" t="s">
        <v>26</v>
      </c>
      <c r="D16" s="8" t="s">
        <v>91</v>
      </c>
      <c r="E16" s="11">
        <v>45168</v>
      </c>
      <c r="F16" s="16">
        <f ca="1">YEARFRAC(E16, TODAY())</f>
        <v>2.5972222222222223</v>
      </c>
      <c r="G16" s="8" t="str" cm="1">
        <f t="array" aca="1" ref="G16" ca="1">_xlfn.IFS(F16&lt;=2.9, "2 Years", F16&lt;=3.9, "3 Years")</f>
        <v>2 Years</v>
      </c>
      <c r="H16" s="14">
        <v>70000</v>
      </c>
      <c r="I16" s="18" t="str" cm="1">
        <f t="array" ref="I16">_xlfn.IFS(H16&lt;50000, "40k-50k", H16&lt;60000, "50k-60k", H16&lt;70000, "60k-70k", H16&lt;80000, "70k-80k")</f>
        <v>70k-80k</v>
      </c>
    </row>
    <row r="17" spans="1:9" x14ac:dyDescent="0.25">
      <c r="A17" s="8" t="s">
        <v>12</v>
      </c>
      <c r="B17" s="8" t="s">
        <v>13</v>
      </c>
      <c r="C17" s="8" t="s">
        <v>14</v>
      </c>
      <c r="D17" s="8" t="s">
        <v>15</v>
      </c>
      <c r="E17" s="11">
        <v>45158</v>
      </c>
      <c r="F17" s="16">
        <f ca="1">YEARFRAC(E17, TODAY())</f>
        <v>2.625</v>
      </c>
      <c r="G17" s="8" t="str" cm="1">
        <f t="array" aca="1" ref="G17" ca="1">_xlfn.IFS(F17&lt;=2.9, "2 Years", F17&lt;=3.9, "3 Years")</f>
        <v>2 Years</v>
      </c>
      <c r="H17" s="14">
        <v>50000</v>
      </c>
      <c r="I17" s="18" t="str" cm="1">
        <f t="array" ref="I17">_xlfn.IFS(H17&lt;50000, "40k-50k", H17&lt;60000, "50k-60k", H17&lt;70000, "60k-70k", H17&lt;80000, "70k-80k")</f>
        <v>50k-60k</v>
      </c>
    </row>
    <row r="18" spans="1:9" x14ac:dyDescent="0.25">
      <c r="A18" s="8" t="s">
        <v>60</v>
      </c>
      <c r="B18" s="8" t="s">
        <v>61</v>
      </c>
      <c r="C18" s="8" t="s">
        <v>26</v>
      </c>
      <c r="D18" s="8" t="s">
        <v>62</v>
      </c>
      <c r="E18" s="11">
        <v>45146</v>
      </c>
      <c r="F18" s="16">
        <f ca="1">YEARFRAC(E18, TODAY())</f>
        <v>2.6583333333333332</v>
      </c>
      <c r="G18" s="8" t="str" cm="1">
        <f t="array" aca="1" ref="G18" ca="1">_xlfn.IFS(F18&lt;=2.9, "2 Years", F18&lt;=3.9, "3 Years")</f>
        <v>2 Years</v>
      </c>
      <c r="H18" s="14">
        <v>75000</v>
      </c>
      <c r="I18" s="18" t="str" cm="1">
        <f t="array" ref="I18">_xlfn.IFS(H18&lt;50000, "40k-50k", H18&lt;60000, "50k-60k", H18&lt;70000, "60k-70k", H18&lt;80000, "70k-80k")</f>
        <v>70k-80k</v>
      </c>
    </row>
    <row r="19" spans="1:9" x14ac:dyDescent="0.25">
      <c r="A19" s="8" t="s">
        <v>128</v>
      </c>
      <c r="B19" s="8" t="s">
        <v>129</v>
      </c>
      <c r="C19" s="8" t="s">
        <v>38</v>
      </c>
      <c r="D19" s="8" t="s">
        <v>130</v>
      </c>
      <c r="E19" s="11">
        <v>45137</v>
      </c>
      <c r="F19" s="16">
        <f ca="1">YEARFRAC(E19, TODAY())</f>
        <v>2.6805555555555554</v>
      </c>
      <c r="G19" s="8" t="str" cm="1">
        <f t="array" aca="1" ref="G19" ca="1">_xlfn.IFS(F19&lt;=2.9, "2 Years", F19&lt;=3.9, "3 Years")</f>
        <v>2 Years</v>
      </c>
      <c r="H19" s="14">
        <v>42000</v>
      </c>
      <c r="I19" s="18" t="str" cm="1">
        <f t="array" ref="I19">_xlfn.IFS(H19&lt;50000, "40k-50k", H19&lt;60000, "50k-60k", H19&lt;70000, "60k-70k", H19&lt;80000, "70k-80k")</f>
        <v>40k-50k</v>
      </c>
    </row>
    <row r="20" spans="1:9" x14ac:dyDescent="0.25">
      <c r="A20" s="8" t="s">
        <v>40</v>
      </c>
      <c r="B20" s="8" t="s">
        <v>41</v>
      </c>
      <c r="C20" s="8" t="s">
        <v>42</v>
      </c>
      <c r="D20" s="8" t="s">
        <v>43</v>
      </c>
      <c r="E20" s="11">
        <v>45129</v>
      </c>
      <c r="F20" s="16">
        <f ca="1">YEARFRAC(E20, TODAY())</f>
        <v>2.7027777777777779</v>
      </c>
      <c r="G20" s="8" t="str" cm="1">
        <f t="array" aca="1" ref="G20" ca="1">_xlfn.IFS(F20&lt;=2.9, "2 Years", F20&lt;=3.9, "3 Years")</f>
        <v>2 Years</v>
      </c>
      <c r="H20" s="14">
        <v>52000</v>
      </c>
      <c r="I20" s="18" t="str" cm="1">
        <f t="array" ref="I20">_xlfn.IFS(H20&lt;50000, "40k-50k", H20&lt;60000, "50k-60k", H20&lt;70000, "60k-70k", H20&lt;80000, "70k-80k")</f>
        <v>50k-60k</v>
      </c>
    </row>
    <row r="21" spans="1:9" x14ac:dyDescent="0.25">
      <c r="A21" s="8" t="s">
        <v>107</v>
      </c>
      <c r="B21" s="8" t="s">
        <v>108</v>
      </c>
      <c r="C21" s="8" t="s">
        <v>10</v>
      </c>
      <c r="D21" s="8" t="s">
        <v>109</v>
      </c>
      <c r="E21" s="11">
        <v>45124</v>
      </c>
      <c r="F21" s="16">
        <f ca="1">YEARFRAC(E21, TODAY())</f>
        <v>2.7166666666666668</v>
      </c>
      <c r="G21" s="8" t="str" cm="1">
        <f t="array" aca="1" ref="G21" ca="1">_xlfn.IFS(F21&lt;=2.9, "2 Years", F21&lt;=3.9, "3 Years")</f>
        <v>2 Years</v>
      </c>
      <c r="H21" s="14">
        <v>50000</v>
      </c>
      <c r="I21" s="18" t="str" cm="1">
        <f t="array" ref="I21">_xlfn.IFS(H21&lt;50000, "40k-50k", H21&lt;60000, "50k-60k", H21&lt;70000, "60k-70k", H21&lt;80000, "70k-80k")</f>
        <v>50k-60k</v>
      </c>
    </row>
    <row r="22" spans="1:9" x14ac:dyDescent="0.25">
      <c r="A22" s="8" t="s">
        <v>78</v>
      </c>
      <c r="B22" s="8" t="s">
        <v>79</v>
      </c>
      <c r="C22" s="8" t="s">
        <v>10</v>
      </c>
      <c r="D22" s="8" t="s">
        <v>80</v>
      </c>
      <c r="E22" s="11">
        <v>45112</v>
      </c>
      <c r="F22" s="16">
        <f ca="1">YEARFRAC(E22, TODAY())</f>
        <v>2.75</v>
      </c>
      <c r="G22" s="8" t="str" cm="1">
        <f t="array" aca="1" ref="G22" ca="1">_xlfn.IFS(F22&lt;=2.9, "2 Years", F22&lt;=3.9, "3 Years")</f>
        <v>2 Years</v>
      </c>
      <c r="H22" s="14">
        <v>42000</v>
      </c>
      <c r="I22" s="18" t="str" cm="1">
        <f t="array" ref="I22">_xlfn.IFS(H22&lt;50000, "40k-50k", H22&lt;60000, "50k-60k", H22&lt;70000, "60k-70k", H22&lt;80000, "70k-80k")</f>
        <v>40k-50k</v>
      </c>
    </row>
    <row r="23" spans="1:9" x14ac:dyDescent="0.25">
      <c r="A23" s="8" t="s">
        <v>28</v>
      </c>
      <c r="B23" s="8" t="s">
        <v>29</v>
      </c>
      <c r="C23" s="8" t="s">
        <v>30</v>
      </c>
      <c r="D23" s="8" t="s">
        <v>31</v>
      </c>
      <c r="E23" s="11">
        <v>45107</v>
      </c>
      <c r="F23" s="16">
        <f ca="1">YEARFRAC(E23, TODAY())</f>
        <v>2.7638888888888888</v>
      </c>
      <c r="G23" s="8" t="str" cm="1">
        <f t="array" aca="1" ref="G23" ca="1">_xlfn.IFS(F23&lt;=2.9, "2 Years", F23&lt;=3.9, "3 Years")</f>
        <v>2 Years</v>
      </c>
      <c r="H23" s="14">
        <v>65000</v>
      </c>
      <c r="I23" s="18" t="str" cm="1">
        <f t="array" ref="I23">_xlfn.IFS(H23&lt;50000, "40k-50k", H23&lt;60000, "50k-60k", H23&lt;70000, "60k-70k", H23&lt;80000, "70k-80k")</f>
        <v>60k-70k</v>
      </c>
    </row>
    <row r="24" spans="1:9" x14ac:dyDescent="0.25">
      <c r="A24" s="8" t="s">
        <v>69</v>
      </c>
      <c r="B24" s="8" t="s">
        <v>70</v>
      </c>
      <c r="C24" s="8" t="s">
        <v>38</v>
      </c>
      <c r="D24" s="8" t="s">
        <v>71</v>
      </c>
      <c r="E24" s="11">
        <v>45102</v>
      </c>
      <c r="F24" s="16">
        <f ca="1">YEARFRAC(E24, TODAY())</f>
        <v>2.7777777777777777</v>
      </c>
      <c r="G24" s="8" t="str" cm="1">
        <f t="array" aca="1" ref="G24" ca="1">_xlfn.IFS(F24&lt;=2.9, "2 Years", F24&lt;=3.9, "3 Years")</f>
        <v>2 Years</v>
      </c>
      <c r="H24" s="14">
        <v>70000</v>
      </c>
      <c r="I24" s="18" t="str" cm="1">
        <f t="array" ref="I24">_xlfn.IFS(H24&lt;50000, "40k-50k", H24&lt;60000, "50k-60k", H24&lt;70000, "60k-70k", H24&lt;80000, "70k-80k")</f>
        <v>70k-80k</v>
      </c>
    </row>
    <row r="25" spans="1:9" x14ac:dyDescent="0.25">
      <c r="A25" s="8" t="s">
        <v>116</v>
      </c>
      <c r="B25" s="8" t="s">
        <v>117</v>
      </c>
      <c r="C25" s="8" t="s">
        <v>22</v>
      </c>
      <c r="D25" s="8" t="s">
        <v>118</v>
      </c>
      <c r="E25" s="11">
        <v>45094</v>
      </c>
      <c r="F25" s="16">
        <f ca="1">YEARFRAC(E25, TODAY())</f>
        <v>2.8</v>
      </c>
      <c r="G25" s="8" t="str" cm="1">
        <f t="array" aca="1" ref="G25" ca="1">_xlfn.IFS(F25&lt;=2.9, "2 Years", F25&lt;=3.9, "3 Years")</f>
        <v>2 Years</v>
      </c>
      <c r="H25" s="14">
        <v>50000</v>
      </c>
      <c r="I25" s="18" t="str" cm="1">
        <f t="array" ref="I25">_xlfn.IFS(H25&lt;50000, "40k-50k", H25&lt;60000, "50k-60k", H25&lt;70000, "60k-70k", H25&lt;80000, "70k-80k")</f>
        <v>50k-60k</v>
      </c>
    </row>
    <row r="26" spans="1:9" x14ac:dyDescent="0.25">
      <c r="A26" s="8" t="s">
        <v>51</v>
      </c>
      <c r="B26" s="8" t="s">
        <v>52</v>
      </c>
      <c r="C26" s="8" t="s">
        <v>14</v>
      </c>
      <c r="D26" s="8" t="s">
        <v>53</v>
      </c>
      <c r="E26" s="11">
        <v>45087</v>
      </c>
      <c r="F26" s="16">
        <f ca="1">YEARFRAC(E26, TODAY())</f>
        <v>2.8194444444444446</v>
      </c>
      <c r="G26" s="8" t="str" cm="1">
        <f t="array" aca="1" ref="G26" ca="1">_xlfn.IFS(F26&lt;=2.9, "2 Years", F26&lt;=3.9, "3 Years")</f>
        <v>2 Years</v>
      </c>
      <c r="H26" s="14">
        <v>65000</v>
      </c>
      <c r="I26" s="18" t="str" cm="1">
        <f t="array" ref="I26">_xlfn.IFS(H26&lt;50000, "40k-50k", H26&lt;60000, "50k-60k", H26&lt;70000, "60k-70k", H26&lt;80000, "70k-80k")</f>
        <v>60k-70k</v>
      </c>
    </row>
    <row r="27" spans="1:9" x14ac:dyDescent="0.25">
      <c r="A27" s="8" t="s">
        <v>98</v>
      </c>
      <c r="B27" s="8" t="s">
        <v>99</v>
      </c>
      <c r="C27" s="8" t="s">
        <v>38</v>
      </c>
      <c r="D27" s="8" t="s">
        <v>100</v>
      </c>
      <c r="E27" s="11">
        <v>45078</v>
      </c>
      <c r="F27" s="16">
        <f ca="1">YEARFRAC(E27, TODAY())</f>
        <v>2.8444444444444446</v>
      </c>
      <c r="G27" s="8" t="str" cm="1">
        <f t="array" aca="1" ref="G27" ca="1">_xlfn.IFS(F27&lt;=2.9, "2 Years", F27&lt;=3.9, "3 Years")</f>
        <v>2 Years</v>
      </c>
      <c r="H27" s="14">
        <v>48000</v>
      </c>
      <c r="I27" s="18" t="str" cm="1">
        <f t="array" ref="I27">_xlfn.IFS(H27&lt;50000, "40k-50k", H27&lt;60000, "50k-60k", H27&lt;70000, "60k-70k", H27&lt;80000, "70k-80k")</f>
        <v>40k-50k</v>
      </c>
    </row>
    <row r="28" spans="1:9" x14ac:dyDescent="0.25">
      <c r="A28" s="8" t="s">
        <v>87</v>
      </c>
      <c r="B28" s="8" t="s">
        <v>88</v>
      </c>
      <c r="C28" s="8" t="s">
        <v>22</v>
      </c>
      <c r="D28" s="8" t="s">
        <v>89</v>
      </c>
      <c r="E28" s="11">
        <v>45071</v>
      </c>
      <c r="F28" s="16">
        <f ca="1">YEARFRAC(E28, TODAY())</f>
        <v>2.8611111111111112</v>
      </c>
      <c r="G28" s="8" t="str" cm="1">
        <f t="array" aca="1" ref="G28" ca="1">_xlfn.IFS(F28&lt;=2.9, "2 Years", F28&lt;=3.9, "3 Years")</f>
        <v>2 Years</v>
      </c>
      <c r="H28" s="14">
        <v>55000</v>
      </c>
      <c r="I28" s="18" t="str" cm="1">
        <f t="array" ref="I28">_xlfn.IFS(H28&lt;50000, "40k-50k", H28&lt;60000, "50k-60k", H28&lt;70000, "60k-70k", H28&lt;80000, "70k-80k")</f>
        <v>50k-60k</v>
      </c>
    </row>
    <row r="29" spans="1:9" x14ac:dyDescent="0.25">
      <c r="A29" s="8" t="s">
        <v>8</v>
      </c>
      <c r="B29" s="8" t="s">
        <v>9</v>
      </c>
      <c r="C29" s="8" t="s">
        <v>10</v>
      </c>
      <c r="D29" s="8" t="s">
        <v>11</v>
      </c>
      <c r="E29" s="11">
        <v>45061</v>
      </c>
      <c r="F29" s="16">
        <f ca="1">YEARFRAC(E29, TODAY())</f>
        <v>2.8888888888888888</v>
      </c>
      <c r="G29" s="8" t="str" cm="1">
        <f t="array" aca="1" ref="G29" ca="1">_xlfn.IFS(F29&lt;=2.9, "2 Years", F29&lt;=3.9, "3 Years")</f>
        <v>2 Years</v>
      </c>
      <c r="H29" s="14">
        <v>60000</v>
      </c>
      <c r="I29" s="18" t="str" cm="1">
        <f t="array" ref="I29">_xlfn.IFS(H29&lt;50000, "40k-50k", H29&lt;60000, "50k-60k", H29&lt;70000, "60k-70k", H29&lt;80000, "70k-80k")</f>
        <v>60k-70k</v>
      </c>
    </row>
    <row r="30" spans="1:9" x14ac:dyDescent="0.25">
      <c r="A30" s="8" t="s">
        <v>57</v>
      </c>
      <c r="B30" s="8" t="s">
        <v>58</v>
      </c>
      <c r="C30" s="8" t="s">
        <v>22</v>
      </c>
      <c r="D30" s="8" t="s">
        <v>59</v>
      </c>
      <c r="E30" s="11">
        <v>45049</v>
      </c>
      <c r="F30" s="16">
        <f ca="1">YEARFRAC(E30, TODAY())</f>
        <v>2.9222222222222221</v>
      </c>
      <c r="G30" s="8" t="str" cm="1">
        <f t="array" aca="1" ref="G30" ca="1">_xlfn.IFS(F30&lt;=2.9, "2 Years", F30&lt;=3.9, "3 Years")</f>
        <v>3 Years</v>
      </c>
      <c r="H30" s="14">
        <v>72000</v>
      </c>
      <c r="I30" s="18" t="str" cm="1">
        <f t="array" ref="I30">_xlfn.IFS(H30&lt;50000, "40k-50k", H30&lt;60000, "50k-60k", H30&lt;70000, "60k-70k", H30&lt;80000, "70k-80k")</f>
        <v>70k-80k</v>
      </c>
    </row>
    <row r="31" spans="1:9" x14ac:dyDescent="0.25">
      <c r="A31" s="8" t="s">
        <v>81</v>
      </c>
      <c r="B31" s="8" t="s">
        <v>82</v>
      </c>
      <c r="C31" s="8" t="s">
        <v>14</v>
      </c>
      <c r="D31" s="8" t="s">
        <v>83</v>
      </c>
      <c r="E31" s="11">
        <v>45044</v>
      </c>
      <c r="F31" s="16">
        <f ca="1">YEARFRAC(E31, TODAY())</f>
        <v>2.9361111111111109</v>
      </c>
      <c r="G31" s="8" t="str" cm="1">
        <f t="array" aca="1" ref="G31" ca="1">_xlfn.IFS(F31&lt;=2.9, "2 Years", F31&lt;=3.9, "3 Years")</f>
        <v>3 Years</v>
      </c>
      <c r="H31" s="14">
        <v>48000</v>
      </c>
      <c r="I31" s="18" t="str" cm="1">
        <f t="array" ref="I31">_xlfn.IFS(H31&lt;50000, "40k-50k", H31&lt;60000, "50k-60k", H31&lt;70000, "60k-70k", H31&lt;80000, "70k-80k")</f>
        <v>40k-50k</v>
      </c>
    </row>
    <row r="32" spans="1:9" x14ac:dyDescent="0.25">
      <c r="A32" s="8" t="s">
        <v>36</v>
      </c>
      <c r="B32" s="8" t="s">
        <v>37</v>
      </c>
      <c r="C32" s="8" t="s">
        <v>38</v>
      </c>
      <c r="D32" s="8" t="s">
        <v>39</v>
      </c>
      <c r="E32" s="11">
        <v>45034</v>
      </c>
      <c r="F32" s="16">
        <f ca="1">YEARFRAC(E32, TODAY())</f>
        <v>2.963888888888889</v>
      </c>
      <c r="G32" s="8" t="str" cm="1">
        <f t="array" aca="1" ref="G32" ca="1">_xlfn.IFS(F32&lt;=2.9, "2 Years", F32&lt;=3.9, "3 Years")</f>
        <v>3 Years</v>
      </c>
      <c r="H32" s="14">
        <v>58000</v>
      </c>
      <c r="I32" s="18" t="str" cm="1">
        <f t="array" ref="I32">_xlfn.IFS(H32&lt;50000, "40k-50k", H32&lt;60000, "50k-60k", H32&lt;70000, "60k-70k", H32&lt;80000, "70k-80k")</f>
        <v>50k-60k</v>
      </c>
    </row>
    <row r="33" spans="1:9" x14ac:dyDescent="0.25">
      <c r="A33" s="8" t="s">
        <v>110</v>
      </c>
      <c r="B33" s="8" t="s">
        <v>111</v>
      </c>
      <c r="C33" s="8" t="s">
        <v>14</v>
      </c>
      <c r="D33" s="8" t="s">
        <v>112</v>
      </c>
      <c r="E33" s="11">
        <v>45026</v>
      </c>
      <c r="F33" s="16">
        <f ca="1">YEARFRAC(E33, TODAY())</f>
        <v>2.9861111111111112</v>
      </c>
      <c r="G33" s="8" t="str" cm="1">
        <f t="array" aca="1" ref="G33" ca="1">_xlfn.IFS(F33&lt;=2.9, "2 Years", F33&lt;=3.9, "3 Years")</f>
        <v>3 Years</v>
      </c>
      <c r="H33" s="14">
        <v>42000</v>
      </c>
      <c r="I33" s="18" t="str" cm="1">
        <f t="array" ref="I33">_xlfn.IFS(H33&lt;50000, "40k-50k", H33&lt;60000, "50k-60k", H33&lt;70000, "60k-70k", H33&lt;80000, "70k-80k")</f>
        <v>40k-50k</v>
      </c>
    </row>
    <row r="34" spans="1:9" x14ac:dyDescent="0.25">
      <c r="A34" s="8" t="s">
        <v>125</v>
      </c>
      <c r="B34" s="8" t="s">
        <v>126</v>
      </c>
      <c r="C34" s="8" t="s">
        <v>34</v>
      </c>
      <c r="D34" s="8" t="s">
        <v>127</v>
      </c>
      <c r="E34" s="11">
        <v>45022</v>
      </c>
      <c r="F34" s="16">
        <f ca="1">YEARFRAC(E34, TODAY())</f>
        <v>2.9972222222222222</v>
      </c>
      <c r="G34" s="8" t="str" cm="1">
        <f t="array" aca="1" ref="G34" ca="1">_xlfn.IFS(F34&lt;=2.9, "2 Years", F34&lt;=3.9, "3 Years")</f>
        <v>3 Years</v>
      </c>
      <c r="H34" s="14">
        <v>40000</v>
      </c>
      <c r="I34" s="18" t="str" cm="1">
        <f t="array" ref="I34">_xlfn.IFS(H34&lt;50000, "40k-50k", H34&lt;60000, "50k-60k", H34&lt;70000, "60k-70k", H34&lt;80000, "70k-80k")</f>
        <v>40k-50k</v>
      </c>
    </row>
    <row r="35" spans="1:9" x14ac:dyDescent="0.25">
      <c r="A35" s="8" t="s">
        <v>95</v>
      </c>
      <c r="B35" s="8" t="s">
        <v>96</v>
      </c>
      <c r="C35" s="8" t="s">
        <v>34</v>
      </c>
      <c r="D35" s="8" t="s">
        <v>97</v>
      </c>
      <c r="E35" s="11">
        <v>45013</v>
      </c>
      <c r="F35" s="16">
        <f ca="1">YEARFRAC(E35, TODAY())</f>
        <v>3.0194444444444444</v>
      </c>
      <c r="G35" s="8" t="str" cm="1">
        <f t="array" aca="1" ref="G35" ca="1">_xlfn.IFS(F35&lt;=2.9, "2 Years", F35&lt;=3.9, "3 Years")</f>
        <v>3 Years</v>
      </c>
      <c r="H35" s="14">
        <v>50000</v>
      </c>
      <c r="I35" s="18" t="str" cm="1">
        <f t="array" ref="I35">_xlfn.IFS(H35&lt;50000, "40k-50k", H35&lt;60000, "50k-60k", H35&lt;70000, "60k-70k", H35&lt;80000, "70k-80k")</f>
        <v>50k-60k</v>
      </c>
    </row>
    <row r="36" spans="1:9" x14ac:dyDescent="0.25">
      <c r="A36" s="8" t="s">
        <v>20</v>
      </c>
      <c r="B36" s="8" t="s">
        <v>21</v>
      </c>
      <c r="C36" s="8" t="s">
        <v>22</v>
      </c>
      <c r="D36" s="8" t="s">
        <v>23</v>
      </c>
      <c r="E36" s="11">
        <v>45010</v>
      </c>
      <c r="F36" s="16">
        <f ca="1">YEARFRAC(E36, TODAY())</f>
        <v>3.0277777777777777</v>
      </c>
      <c r="G36" s="8" t="str" cm="1">
        <f t="array" aca="1" ref="G36" ca="1">_xlfn.IFS(F36&lt;=2.9, "2 Years", F36&lt;=3.9, "3 Years")</f>
        <v>3 Years</v>
      </c>
      <c r="H36" s="14">
        <v>48000</v>
      </c>
      <c r="I36" s="18" t="str" cm="1">
        <f t="array" ref="I36">_xlfn.IFS(H36&lt;50000, "40k-50k", H36&lt;60000, "50k-60k", H36&lt;70000, "60k-70k", H36&lt;80000, "70k-80k")</f>
        <v>40k-50k</v>
      </c>
    </row>
    <row r="37" spans="1:9" x14ac:dyDescent="0.25">
      <c r="A37" s="8" t="s">
        <v>133</v>
      </c>
      <c r="B37" s="8" t="s">
        <v>88</v>
      </c>
      <c r="C37" s="8" t="s">
        <v>46</v>
      </c>
      <c r="D37" s="8" t="s">
        <v>134</v>
      </c>
      <c r="E37" s="11">
        <v>45005</v>
      </c>
      <c r="F37" s="16">
        <f ca="1">YEARFRAC(E37, TODAY())</f>
        <v>3.0416666666666665</v>
      </c>
      <c r="G37" s="8" t="str" cm="1">
        <f t="array" aca="1" ref="G37" ca="1">_xlfn.IFS(F37&lt;=2.9, "2 Years", F37&lt;=3.9, "3 Years")</f>
        <v>3 Years</v>
      </c>
      <c r="H37" s="14">
        <v>42000</v>
      </c>
      <c r="I37" s="18" t="str" cm="1">
        <f t="array" ref="I37">_xlfn.IFS(H37&lt;50000, "40k-50k", H37&lt;60000, "50k-60k", H37&lt;70000, "60k-70k", H37&lt;80000, "70k-80k")</f>
        <v>40k-50k</v>
      </c>
    </row>
    <row r="38" spans="1:9" x14ac:dyDescent="0.25">
      <c r="A38" s="8" t="s">
        <v>66</v>
      </c>
      <c r="B38" s="8" t="s">
        <v>67</v>
      </c>
      <c r="C38" s="8" t="s">
        <v>34</v>
      </c>
      <c r="D38" s="8" t="s">
        <v>68</v>
      </c>
      <c r="E38" s="11">
        <v>44997</v>
      </c>
      <c r="F38" s="16">
        <f ca="1">YEARFRAC(E38, TODAY())</f>
        <v>3.0638888888888891</v>
      </c>
      <c r="G38" s="8" t="str" cm="1">
        <f t="array" aca="1" ref="G38" ca="1">_xlfn.IFS(F38&lt;=2.9, "2 Years", F38&lt;=3.9, "3 Years")</f>
        <v>3 Years</v>
      </c>
      <c r="H38" s="14">
        <v>68000</v>
      </c>
      <c r="I38" s="18" t="str" cm="1">
        <f t="array" ref="I38">_xlfn.IFS(H38&lt;50000, "40k-50k", H38&lt;60000, "50k-60k", H38&lt;70000, "60k-70k", H38&lt;80000, "70k-80k")</f>
        <v>60k-70k</v>
      </c>
    </row>
    <row r="39" spans="1:9" x14ac:dyDescent="0.25">
      <c r="A39" s="8" t="s">
        <v>104</v>
      </c>
      <c r="B39" s="8" t="s">
        <v>105</v>
      </c>
      <c r="C39" s="8" t="s">
        <v>46</v>
      </c>
      <c r="D39" s="8" t="s">
        <v>106</v>
      </c>
      <c r="E39" s="11">
        <v>44979</v>
      </c>
      <c r="F39" s="16">
        <f ca="1">YEARFRAC(E39, TODAY())</f>
        <v>3.1194444444444445</v>
      </c>
      <c r="G39" s="8" t="str" cm="1">
        <f t="array" aca="1" ref="G39" ca="1">_xlfn.IFS(F39&lt;=2.9, "2 Years", F39&lt;=3.9, "3 Years")</f>
        <v>3 Years</v>
      </c>
      <c r="H39" s="14">
        <v>62000</v>
      </c>
      <c r="I39" s="18" t="str" cm="1">
        <f t="array" ref="I39">_xlfn.IFS(H39&lt;50000, "40k-50k", H39&lt;60000, "50k-60k", H39&lt;70000, "60k-70k", H39&lt;80000, "70k-80k")</f>
        <v>60k-70k</v>
      </c>
    </row>
    <row r="40" spans="1:9" x14ac:dyDescent="0.25">
      <c r="A40" s="8" t="s">
        <v>44</v>
      </c>
      <c r="B40" s="8" t="s">
        <v>45</v>
      </c>
      <c r="C40" s="8" t="s">
        <v>46</v>
      </c>
      <c r="D40" s="8" t="s">
        <v>47</v>
      </c>
      <c r="E40" s="11">
        <v>44971</v>
      </c>
      <c r="F40" s="16">
        <f ca="1">YEARFRAC(E40, TODAY())</f>
        <v>3.1416666666666666</v>
      </c>
      <c r="G40" s="8" t="str" cm="1">
        <f t="array" aca="1" ref="G40" ca="1">_xlfn.IFS(F40&lt;=2.9, "2 Years", F40&lt;=3.9, "3 Years")</f>
        <v>3 Years</v>
      </c>
      <c r="H40" s="14">
        <v>56000</v>
      </c>
      <c r="I40" s="18" t="str" cm="1">
        <f t="array" ref="I40">_xlfn.IFS(H40&lt;50000, "40k-50k", H40&lt;60000, "50k-60k", H40&lt;70000, "60k-70k", H40&lt;80000, "70k-80k")</f>
        <v>50k-60k</v>
      </c>
    </row>
    <row r="41" spans="1:9" x14ac:dyDescent="0.25">
      <c r="A41" s="8" t="s">
        <v>75</v>
      </c>
      <c r="B41" s="8" t="s">
        <v>76</v>
      </c>
      <c r="C41" s="8" t="s">
        <v>46</v>
      </c>
      <c r="D41" s="8" t="s">
        <v>77</v>
      </c>
      <c r="E41" s="11">
        <v>44943</v>
      </c>
      <c r="F41" s="16">
        <f ca="1">YEARFRAC(E41, TODAY())</f>
        <v>3.2166666666666668</v>
      </c>
      <c r="G41" s="8" t="str" cm="1">
        <f t="array" aca="1" ref="G41" ca="1">_xlfn.IFS(F41&lt;=2.9, "2 Years", F41&lt;=3.9, "3 Years")</f>
        <v>3 Years</v>
      </c>
      <c r="H41" s="14">
        <v>75000</v>
      </c>
      <c r="I41" s="18" t="str" cm="1">
        <f t="array" ref="I41">_xlfn.IFS(H41&lt;50000, "40k-50k", H41&lt;60000, "50k-60k", H41&lt;70000, "60k-70k", H41&lt;80000, "70k-80k")</f>
        <v>70k-80k</v>
      </c>
    </row>
  </sheetData>
  <autoFilter ref="A1:I41" xr:uid="{5ADF4A82-7DD1-45F0-9D7F-40EA5EF087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03D5-5AFA-4EFB-A68A-4AB58FA2A22B}">
  <dimension ref="A1:AB42"/>
  <sheetViews>
    <sheetView showGridLines="0" topLeftCell="K3" workbookViewId="0">
      <selection activeCell="K39" sqref="K39:K58"/>
    </sheetView>
  </sheetViews>
  <sheetFormatPr defaultRowHeight="15" x14ac:dyDescent="0.25"/>
  <cols>
    <col min="1" max="1" width="25.28515625" bestFit="1" customWidth="1"/>
    <col min="2" max="2" width="17.7109375" bestFit="1" customWidth="1"/>
    <col min="3" max="3" width="17.5703125" bestFit="1" customWidth="1"/>
    <col min="9" max="9" width="36.140625" bestFit="1" customWidth="1"/>
    <col min="10" max="10" width="17.5703125" bestFit="1" customWidth="1"/>
    <col min="11" max="11" width="21" bestFit="1" customWidth="1"/>
    <col min="15" max="15" width="11.85546875" bestFit="1" customWidth="1"/>
    <col min="16" max="16" width="16.140625" bestFit="1" customWidth="1"/>
    <col min="21" max="21" width="14.7109375" bestFit="1" customWidth="1"/>
    <col min="22" max="22" width="16.140625" bestFit="1" customWidth="1"/>
    <col min="27" max="27" width="11.28515625" bestFit="1" customWidth="1"/>
    <col min="28" max="28" width="16.140625" bestFit="1" customWidth="1"/>
    <col min="29" max="29" width="20.42578125" bestFit="1" customWidth="1"/>
  </cols>
  <sheetData>
    <row r="1" spans="1:28" x14ac:dyDescent="0.25">
      <c r="A1" s="20" t="s">
        <v>4</v>
      </c>
      <c r="B1" t="s">
        <v>159</v>
      </c>
      <c r="C1" t="s">
        <v>139</v>
      </c>
      <c r="I1" s="20" t="s">
        <v>5</v>
      </c>
      <c r="J1" t="s">
        <v>139</v>
      </c>
      <c r="O1" s="20" t="s">
        <v>6</v>
      </c>
      <c r="P1" t="s">
        <v>158</v>
      </c>
      <c r="U1" s="20" t="s">
        <v>137</v>
      </c>
      <c r="V1" t="s">
        <v>158</v>
      </c>
      <c r="AA1" s="20" t="s">
        <v>136</v>
      </c>
      <c r="AB1" t="s">
        <v>158</v>
      </c>
    </row>
    <row r="2" spans="1:28" x14ac:dyDescent="0.25">
      <c r="A2" s="21" t="s">
        <v>34</v>
      </c>
      <c r="B2" s="22">
        <v>203000</v>
      </c>
      <c r="C2" s="22">
        <v>50750</v>
      </c>
      <c r="I2" s="21" t="s">
        <v>132</v>
      </c>
      <c r="J2" s="22">
        <v>40000</v>
      </c>
      <c r="O2" s="21" t="s">
        <v>140</v>
      </c>
      <c r="P2" s="9">
        <v>1</v>
      </c>
      <c r="U2" s="21" t="s">
        <v>152</v>
      </c>
      <c r="V2" s="9">
        <v>15</v>
      </c>
      <c r="AA2" s="21" t="s">
        <v>156</v>
      </c>
      <c r="AB2" s="9">
        <v>28</v>
      </c>
    </row>
    <row r="3" spans="1:28" x14ac:dyDescent="0.25">
      <c r="A3" s="21" t="s">
        <v>18</v>
      </c>
      <c r="B3" s="22">
        <v>233000</v>
      </c>
      <c r="C3" s="22">
        <v>58250</v>
      </c>
      <c r="I3" s="21" t="s">
        <v>127</v>
      </c>
      <c r="J3" s="22">
        <v>40000</v>
      </c>
      <c r="O3" s="21" t="s">
        <v>141</v>
      </c>
      <c r="P3" s="9">
        <v>2</v>
      </c>
      <c r="U3" s="21" t="s">
        <v>153</v>
      </c>
      <c r="V3" s="9">
        <v>10</v>
      </c>
      <c r="AA3" s="21" t="s">
        <v>157</v>
      </c>
      <c r="AB3" s="9">
        <v>12</v>
      </c>
    </row>
    <row r="4" spans="1:28" x14ac:dyDescent="0.25">
      <c r="A4" s="21" t="s">
        <v>10</v>
      </c>
      <c r="B4" s="22">
        <v>200000</v>
      </c>
      <c r="C4" s="22">
        <v>50000</v>
      </c>
      <c r="I4" s="21" t="s">
        <v>80</v>
      </c>
      <c r="J4" s="22">
        <v>42000</v>
      </c>
      <c r="O4" s="21" t="s">
        <v>142</v>
      </c>
      <c r="P4" s="9">
        <v>4</v>
      </c>
      <c r="U4" s="21" t="s">
        <v>154</v>
      </c>
      <c r="V4" s="9">
        <v>8</v>
      </c>
      <c r="AA4" s="21" t="s">
        <v>138</v>
      </c>
      <c r="AB4" s="9">
        <v>40</v>
      </c>
    </row>
    <row r="5" spans="1:28" x14ac:dyDescent="0.25">
      <c r="A5" s="21" t="s">
        <v>26</v>
      </c>
      <c r="B5" s="22">
        <v>253000</v>
      </c>
      <c r="C5" s="22">
        <v>63250</v>
      </c>
      <c r="I5" s="21" t="s">
        <v>124</v>
      </c>
      <c r="J5" s="22">
        <v>42000</v>
      </c>
      <c r="O5" s="21" t="s">
        <v>143</v>
      </c>
      <c r="P5" s="9">
        <v>4</v>
      </c>
      <c r="U5" s="21" t="s">
        <v>155</v>
      </c>
      <c r="V5" s="9">
        <v>7</v>
      </c>
    </row>
    <row r="6" spans="1:28" x14ac:dyDescent="0.25">
      <c r="A6" s="21" t="s">
        <v>14</v>
      </c>
      <c r="B6" s="22">
        <v>205000</v>
      </c>
      <c r="C6" s="22">
        <v>51250</v>
      </c>
      <c r="I6" s="21" t="s">
        <v>130</v>
      </c>
      <c r="J6" s="22">
        <v>42000</v>
      </c>
      <c r="O6" s="21" t="s">
        <v>144</v>
      </c>
      <c r="P6" s="9">
        <v>3</v>
      </c>
      <c r="U6" s="21" t="s">
        <v>138</v>
      </c>
      <c r="V6" s="9">
        <v>40</v>
      </c>
    </row>
    <row r="7" spans="1:28" x14ac:dyDescent="0.25">
      <c r="A7" s="21" t="s">
        <v>30</v>
      </c>
      <c r="B7" s="22">
        <v>210000</v>
      </c>
      <c r="C7" s="22">
        <v>52500</v>
      </c>
      <c r="I7" s="21" t="s">
        <v>134</v>
      </c>
      <c r="J7" s="22">
        <v>42000</v>
      </c>
      <c r="O7" s="21" t="s">
        <v>145</v>
      </c>
      <c r="P7" s="9">
        <v>5</v>
      </c>
    </row>
    <row r="8" spans="1:28" x14ac:dyDescent="0.25">
      <c r="A8" s="21" t="s">
        <v>42</v>
      </c>
      <c r="B8" s="22">
        <v>224000</v>
      </c>
      <c r="C8" s="22">
        <v>56000</v>
      </c>
      <c r="I8" s="21" t="s">
        <v>112</v>
      </c>
      <c r="J8" s="22">
        <v>42000</v>
      </c>
      <c r="O8" s="21" t="s">
        <v>146</v>
      </c>
      <c r="P8" s="9">
        <v>4</v>
      </c>
    </row>
    <row r="9" spans="1:28" x14ac:dyDescent="0.25">
      <c r="A9" s="21" t="s">
        <v>46</v>
      </c>
      <c r="B9" s="22">
        <v>235000</v>
      </c>
      <c r="C9" s="22">
        <v>58750</v>
      </c>
      <c r="I9" s="21" t="s">
        <v>35</v>
      </c>
      <c r="J9" s="22">
        <v>45000</v>
      </c>
      <c r="O9" s="21" t="s">
        <v>147</v>
      </c>
      <c r="P9" s="9">
        <v>3</v>
      </c>
    </row>
    <row r="10" spans="1:28" x14ac:dyDescent="0.25">
      <c r="A10" s="21" t="s">
        <v>38</v>
      </c>
      <c r="B10" s="22">
        <v>218000</v>
      </c>
      <c r="C10" s="22">
        <v>54500</v>
      </c>
      <c r="I10" s="21" t="s">
        <v>65</v>
      </c>
      <c r="J10" s="22">
        <v>48000</v>
      </c>
      <c r="O10" s="21" t="s">
        <v>148</v>
      </c>
      <c r="P10" s="9">
        <v>5</v>
      </c>
    </row>
    <row r="11" spans="1:28" x14ac:dyDescent="0.25">
      <c r="A11" s="21" t="s">
        <v>22</v>
      </c>
      <c r="B11" s="22">
        <v>225000</v>
      </c>
      <c r="C11" s="22">
        <v>56250</v>
      </c>
      <c r="I11" s="21" t="s">
        <v>121</v>
      </c>
      <c r="J11" s="22">
        <v>48000</v>
      </c>
      <c r="O11" s="21" t="s">
        <v>149</v>
      </c>
      <c r="P11" s="9">
        <v>4</v>
      </c>
    </row>
    <row r="12" spans="1:28" x14ac:dyDescent="0.25">
      <c r="A12" s="21" t="s">
        <v>138</v>
      </c>
      <c r="B12" s="22">
        <v>2206000</v>
      </c>
      <c r="C12" s="22">
        <v>55150</v>
      </c>
      <c r="I12" s="21" t="s">
        <v>83</v>
      </c>
      <c r="J12" s="22">
        <v>48000</v>
      </c>
      <c r="O12" s="21" t="s">
        <v>150</v>
      </c>
      <c r="P12" s="9">
        <v>4</v>
      </c>
    </row>
    <row r="13" spans="1:28" x14ac:dyDescent="0.25">
      <c r="I13" s="21" t="s">
        <v>115</v>
      </c>
      <c r="J13" s="22">
        <v>48000</v>
      </c>
      <c r="O13" s="21" t="s">
        <v>151</v>
      </c>
      <c r="P13" s="9">
        <v>1</v>
      </c>
    </row>
    <row r="14" spans="1:28" x14ac:dyDescent="0.25">
      <c r="I14" s="21" t="s">
        <v>23</v>
      </c>
      <c r="J14" s="22">
        <v>48000</v>
      </c>
      <c r="O14" s="21" t="s">
        <v>138</v>
      </c>
      <c r="P14" s="9">
        <v>40</v>
      </c>
    </row>
    <row r="15" spans="1:28" x14ac:dyDescent="0.25">
      <c r="I15" s="21" t="s">
        <v>100</v>
      </c>
      <c r="J15" s="22">
        <v>48000</v>
      </c>
    </row>
    <row r="16" spans="1:28" x14ac:dyDescent="0.25">
      <c r="I16" s="21" t="s">
        <v>50</v>
      </c>
      <c r="J16" s="22">
        <v>48000</v>
      </c>
    </row>
    <row r="17" spans="9:10" x14ac:dyDescent="0.25">
      <c r="I17" s="21" t="s">
        <v>15</v>
      </c>
      <c r="J17" s="22">
        <v>50000</v>
      </c>
    </row>
    <row r="18" spans="9:10" x14ac:dyDescent="0.25">
      <c r="I18" s="21" t="s">
        <v>97</v>
      </c>
      <c r="J18" s="22">
        <v>50000</v>
      </c>
    </row>
    <row r="19" spans="9:10" x14ac:dyDescent="0.25">
      <c r="I19" s="21" t="s">
        <v>109</v>
      </c>
      <c r="J19" s="22">
        <v>50000</v>
      </c>
    </row>
    <row r="20" spans="9:10" x14ac:dyDescent="0.25">
      <c r="I20" s="21" t="s">
        <v>118</v>
      </c>
      <c r="J20" s="22">
        <v>50000</v>
      </c>
    </row>
    <row r="21" spans="9:10" x14ac:dyDescent="0.25">
      <c r="I21" s="21" t="s">
        <v>43</v>
      </c>
      <c r="J21" s="22">
        <v>52000</v>
      </c>
    </row>
    <row r="22" spans="9:10" x14ac:dyDescent="0.25">
      <c r="I22" s="21" t="s">
        <v>94</v>
      </c>
      <c r="J22" s="22">
        <v>55000</v>
      </c>
    </row>
    <row r="23" spans="9:10" x14ac:dyDescent="0.25">
      <c r="I23" s="21" t="s">
        <v>89</v>
      </c>
      <c r="J23" s="22">
        <v>55000</v>
      </c>
    </row>
    <row r="24" spans="9:10" x14ac:dyDescent="0.25">
      <c r="I24" s="21" t="s">
        <v>19</v>
      </c>
      <c r="J24" s="22">
        <v>55000</v>
      </c>
    </row>
    <row r="25" spans="9:10" x14ac:dyDescent="0.25">
      <c r="I25" s="21" t="s">
        <v>47</v>
      </c>
      <c r="J25" s="22">
        <v>56000</v>
      </c>
    </row>
    <row r="26" spans="9:10" x14ac:dyDescent="0.25">
      <c r="I26" s="21" t="s">
        <v>39</v>
      </c>
      <c r="J26" s="22">
        <v>58000</v>
      </c>
    </row>
    <row r="27" spans="9:10" x14ac:dyDescent="0.25">
      <c r="I27" s="21" t="s">
        <v>11</v>
      </c>
      <c r="J27" s="22">
        <v>60000</v>
      </c>
    </row>
    <row r="28" spans="9:10" x14ac:dyDescent="0.25">
      <c r="I28" s="21" t="s">
        <v>27</v>
      </c>
      <c r="J28" s="22">
        <v>60000</v>
      </c>
    </row>
    <row r="29" spans="9:10" x14ac:dyDescent="0.25">
      <c r="I29" s="21" t="s">
        <v>86</v>
      </c>
      <c r="J29" s="22">
        <v>60000</v>
      </c>
    </row>
    <row r="30" spans="9:10" x14ac:dyDescent="0.25">
      <c r="I30" s="21" t="s">
        <v>103</v>
      </c>
      <c r="J30" s="22">
        <v>60000</v>
      </c>
    </row>
    <row r="31" spans="9:10" x14ac:dyDescent="0.25">
      <c r="I31" s="21" t="s">
        <v>106</v>
      </c>
      <c r="J31" s="22">
        <v>62000</v>
      </c>
    </row>
    <row r="32" spans="9:10" x14ac:dyDescent="0.25">
      <c r="I32" s="21" t="s">
        <v>31</v>
      </c>
      <c r="J32" s="22">
        <v>65000</v>
      </c>
    </row>
    <row r="33" spans="9:10" x14ac:dyDescent="0.25">
      <c r="I33" s="21" t="s">
        <v>53</v>
      </c>
      <c r="J33" s="22">
        <v>65000</v>
      </c>
    </row>
    <row r="34" spans="9:10" x14ac:dyDescent="0.25">
      <c r="I34" s="21" t="s">
        <v>68</v>
      </c>
      <c r="J34" s="22">
        <v>68000</v>
      </c>
    </row>
    <row r="35" spans="9:10" x14ac:dyDescent="0.25">
      <c r="I35" s="21" t="s">
        <v>71</v>
      </c>
      <c r="J35" s="22">
        <v>70000</v>
      </c>
    </row>
    <row r="36" spans="9:10" x14ac:dyDescent="0.25">
      <c r="I36" s="21" t="s">
        <v>56</v>
      </c>
      <c r="J36" s="22">
        <v>70000</v>
      </c>
    </row>
    <row r="37" spans="9:10" x14ac:dyDescent="0.25">
      <c r="I37" s="21" t="s">
        <v>91</v>
      </c>
      <c r="J37" s="22">
        <v>70000</v>
      </c>
    </row>
    <row r="38" spans="9:10" x14ac:dyDescent="0.25">
      <c r="I38" s="21" t="s">
        <v>74</v>
      </c>
      <c r="J38" s="22">
        <v>72000</v>
      </c>
    </row>
    <row r="39" spans="9:10" x14ac:dyDescent="0.25">
      <c r="I39" s="21" t="s">
        <v>59</v>
      </c>
      <c r="J39" s="22">
        <v>72000</v>
      </c>
    </row>
    <row r="40" spans="9:10" x14ac:dyDescent="0.25">
      <c r="I40" s="21" t="s">
        <v>77</v>
      </c>
      <c r="J40" s="22">
        <v>75000</v>
      </c>
    </row>
    <row r="41" spans="9:10" x14ac:dyDescent="0.25">
      <c r="I41" s="21" t="s">
        <v>62</v>
      </c>
      <c r="J41" s="22">
        <v>75000</v>
      </c>
    </row>
    <row r="42" spans="9:10" x14ac:dyDescent="0.25">
      <c r="I42" s="21" t="s">
        <v>138</v>
      </c>
      <c r="J42" s="22">
        <v>55150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CAB6-6622-4DA0-AC7F-53523C837472}">
  <dimension ref="A1:W4"/>
  <sheetViews>
    <sheetView showGridLines="0" tabSelected="1" zoomScale="91" zoomScaleNormal="91" workbookViewId="0">
      <selection activeCell="AB13" sqref="AB13"/>
    </sheetView>
  </sheetViews>
  <sheetFormatPr defaultRowHeight="15" x14ac:dyDescent="0.25"/>
  <sheetData>
    <row r="1" spans="1:23" ht="15" customHeight="1" x14ac:dyDescent="0.25">
      <c r="A1" s="23" t="s">
        <v>160</v>
      </c>
      <c r="B1" s="23"/>
      <c r="C1" s="23"/>
      <c r="D1" s="23"/>
      <c r="E1" s="23"/>
      <c r="F1" s="23"/>
      <c r="G1" s="23"/>
      <c r="H1" s="23"/>
      <c r="I1" s="23"/>
      <c r="J1" s="23"/>
      <c r="K1" s="23"/>
      <c r="L1" s="23"/>
      <c r="M1" s="23"/>
      <c r="N1" s="23"/>
      <c r="O1" s="23"/>
      <c r="P1" s="23"/>
      <c r="Q1" s="23"/>
      <c r="R1" s="23"/>
      <c r="S1" s="23"/>
      <c r="T1" s="23"/>
      <c r="U1" s="23"/>
      <c r="V1" s="23"/>
      <c r="W1" s="23"/>
    </row>
    <row r="2" spans="1:23" x14ac:dyDescent="0.25">
      <c r="A2" s="23"/>
      <c r="B2" s="23"/>
      <c r="C2" s="23"/>
      <c r="D2" s="23"/>
      <c r="E2" s="23"/>
      <c r="F2" s="23"/>
      <c r="G2" s="23"/>
      <c r="H2" s="23"/>
      <c r="I2" s="23"/>
      <c r="J2" s="23"/>
      <c r="K2" s="23"/>
      <c r="L2" s="23"/>
      <c r="M2" s="23"/>
      <c r="N2" s="23"/>
      <c r="O2" s="23"/>
      <c r="P2" s="23"/>
      <c r="Q2" s="23"/>
      <c r="R2" s="23"/>
      <c r="S2" s="23"/>
      <c r="T2" s="23"/>
      <c r="U2" s="23"/>
      <c r="V2" s="23"/>
      <c r="W2" s="23"/>
    </row>
    <row r="3" spans="1:23" x14ac:dyDescent="0.25">
      <c r="A3" s="23"/>
      <c r="B3" s="23"/>
      <c r="C3" s="23"/>
      <c r="D3" s="23"/>
      <c r="E3" s="23"/>
      <c r="F3" s="23"/>
      <c r="G3" s="23"/>
      <c r="H3" s="23"/>
      <c r="I3" s="23"/>
      <c r="J3" s="23"/>
      <c r="K3" s="23"/>
      <c r="L3" s="23"/>
      <c r="M3" s="23"/>
      <c r="N3" s="23"/>
      <c r="O3" s="23"/>
      <c r="P3" s="23"/>
      <c r="Q3" s="23"/>
      <c r="R3" s="23"/>
      <c r="S3" s="23"/>
      <c r="T3" s="23"/>
      <c r="U3" s="23"/>
      <c r="V3" s="23"/>
      <c r="W3" s="23"/>
    </row>
    <row r="4" spans="1:23" x14ac:dyDescent="0.25">
      <c r="A4" s="23"/>
      <c r="B4" s="23"/>
      <c r="C4" s="23"/>
      <c r="D4" s="23"/>
      <c r="E4" s="23"/>
      <c r="F4" s="23"/>
      <c r="G4" s="23"/>
      <c r="H4" s="23"/>
      <c r="I4" s="23"/>
      <c r="J4" s="23"/>
      <c r="K4" s="23"/>
      <c r="L4" s="23"/>
      <c r="M4" s="23"/>
      <c r="N4" s="23"/>
      <c r="O4" s="23"/>
      <c r="P4" s="23"/>
      <c r="Q4" s="23"/>
      <c r="R4" s="23"/>
      <c r="S4" s="23"/>
      <c r="T4" s="23"/>
      <c r="U4" s="23"/>
      <c r="V4" s="23"/>
      <c r="W4" s="23"/>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 Management Data</vt:lpstr>
      <vt:lpstr>Worksheet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rachelle fraga</cp:lastModifiedBy>
  <dcterms:created xsi:type="dcterms:W3CDTF">2024-02-19T11:42:54Z</dcterms:created>
  <dcterms:modified xsi:type="dcterms:W3CDTF">2026-04-05T15:28:51Z</dcterms:modified>
</cp:coreProperties>
</file>